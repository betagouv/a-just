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clean/a-just/front/src/assets/"/>
    </mc:Choice>
  </mc:AlternateContent>
  <xr:revisionPtr revIDLastSave="0" documentId="13_ncr:1_{928DD8AE-360E-9C41-ABEC-92C4050FCB8F}" xr6:coauthVersionLast="47" xr6:coauthVersionMax="47" xr10:uidLastSave="{00000000-0000-0000-0000-000000000000}"/>
  <bookViews>
    <workbookView xWindow="20" yWindow="760" windowWidth="30240" windowHeight="17700" firstSheet="1" activeTab="13" xr2:uid="{50CB0F02-73D8-432D-BA19-0D33B1FE1838}"/>
  </bookViews>
  <sheets>
    <sheet name="ACCUEIL" sheetId="33" r:id="rId1"/>
    <sheet name="ETPT A-JUST" sheetId="1" r:id="rId2"/>
    <sheet name="ETPT Format DDG" sheetId="9" r:id="rId3"/>
    <sheet name="Synthèse ETPT" sheetId="10" r:id="rId4"/>
    <sheet name="Table_Fonctions" sheetId="19" r:id="rId5"/>
    <sheet name="ETPT Format DDG DETAIL" sheetId="41" state="hidden" r:id="rId6"/>
    <sheet name="ETPT_TJ" sheetId="25" r:id="rId7"/>
    <sheet name="ETPT_TPRX" sheetId="26" state="hidden" r:id="rId8"/>
    <sheet name="ETPT_CPH" sheetId="27" state="hidden" r:id="rId9"/>
    <sheet name="ETPT_JUR_ASS" sheetId="38" r:id="rId10"/>
    <sheet name="ETPT_TJ_DDG" sheetId="28" r:id="rId11"/>
    <sheet name="ETPT_TPRX_DDG" sheetId="29" r:id="rId12"/>
    <sheet name="ETPT_CPH_DDG" sheetId="30" r:id="rId13"/>
    <sheet name="ETPT_JUR_ASS_DDG" sheetId="39" r:id="rId14"/>
    <sheet name="Juridictions" sheetId="17" state="hidden" r:id="rId15"/>
    <sheet name="ETPT_TJ_corresp-SIEGE-TJ" sheetId="24" r:id="rId16"/>
    <sheet name="ETPT_TPROX_corresp-SIEGE-TPROX" sheetId="34" state="hidden" r:id="rId17"/>
    <sheet name="ETPT_TJ_corresp-GREFFE-TJ" sheetId="35" r:id="rId18"/>
    <sheet name="ETPT_TROX_corresp-GREFFE-TPROX" sheetId="36" state="hidden" r:id="rId19"/>
    <sheet name="ETPT_CPH_corresp-GREFFE-CPH" sheetId="37" state="hidden" r:id="rId20"/>
    <sheet name="ETPT_ATTACHES_JUSTICE  corresp" sheetId="40"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3" i="39" l="1"/>
  <c r="N13" i="39"/>
  <c r="K13" i="39"/>
  <c r="J6" i="38" a="1"/>
  <c r="J6" i="38" s="1"/>
  <c r="J13" i="38" s="1"/>
  <c r="AT15" i="25"/>
  <c r="AF15" i="25"/>
  <c r="AT14" i="25"/>
  <c r="AF14" i="25"/>
  <c r="R6" i="38" a="1"/>
  <c r="R6" i="38" s="1"/>
  <c r="Q6" i="38" a="1"/>
  <c r="Q6" i="38" s="1"/>
  <c r="P6" i="38" a="1"/>
  <c r="P6" i="38" s="1"/>
  <c r="O6" i="38" a="1"/>
  <c r="O6" i="38" s="1"/>
  <c r="L6" i="38" a="1"/>
  <c r="L6" i="38" s="1"/>
  <c r="K6" i="38" a="1"/>
  <c r="K6" i="38" s="1"/>
  <c r="I6" i="38" a="1"/>
  <c r="I6" i="38" s="1"/>
  <c r="P5" i="38" a="1"/>
  <c r="P5" i="38" s="1"/>
  <c r="L5" i="38" a="1"/>
  <c r="L5" i="38" s="1"/>
  <c r="I5" i="38" a="1"/>
  <c r="I5" i="38" s="1"/>
  <c r="L6" i="25"/>
  <c r="K12" i="38"/>
  <c r="K11" i="38"/>
  <c r="K10" i="38"/>
  <c r="K9" i="38"/>
  <c r="K8" i="38"/>
  <c r="K7" i="38"/>
  <c r="J12" i="38"/>
  <c r="J11" i="38"/>
  <c r="J10" i="38"/>
  <c r="J9" i="38"/>
  <c r="J8" i="38"/>
  <c r="J7" i="38"/>
  <c r="R12" i="38"/>
  <c r="R11" i="38"/>
  <c r="R10" i="38"/>
  <c r="R9" i="38"/>
  <c r="R8" i="38"/>
  <c r="R7" i="38"/>
  <c r="M13" i="38"/>
  <c r="N13" i="38"/>
  <c r="V14" i="25"/>
  <c r="V15" i="25"/>
  <c r="R15" i="25"/>
  <c r="AT5" i="28"/>
  <c r="AT5" i="25" a="1"/>
  <c r="AT5" i="25" s="1"/>
  <c r="AT16" i="25" s="1"/>
  <c r="V5" i="25"/>
  <c r="R14" i="25"/>
  <c r="R5" i="25"/>
  <c r="R5" i="28"/>
  <c r="U6" i="10"/>
  <c r="S6" i="10"/>
  <c r="L6" i="10"/>
  <c r="K13" i="38" l="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G13" i="25" s="1"/>
  <c r="AU12" i="25"/>
  <c r="AV12" i="25" s="1"/>
  <c r="AF12" i="25" a="1"/>
  <c r="AF12" i="25" s="1"/>
  <c r="AE12" i="25" a="1"/>
  <c r="AE12" i="25" s="1"/>
  <c r="AD12" i="25" a="1"/>
  <c r="AD12" i="25" s="1"/>
  <c r="Z12" i="25" a="1"/>
  <c r="Z12" i="25" s="1"/>
  <c r="Y12" i="25" a="1"/>
  <c r="Y12" i="25" s="1"/>
  <c r="AG12" i="25" s="1"/>
  <c r="V12" i="25"/>
  <c r="W12" i="25" s="1"/>
  <c r="G12" i="25"/>
  <c r="H12" i="25" s="1"/>
  <c r="AU11" i="25"/>
  <c r="AV11" i="25" s="1"/>
  <c r="AF11" i="25" a="1"/>
  <c r="AF11" i="25" s="1"/>
  <c r="AE11" i="25" a="1"/>
  <c r="AE11" i="25" s="1"/>
  <c r="AD11" i="25" a="1"/>
  <c r="AD11" i="25" s="1"/>
  <c r="Z11" i="25" a="1"/>
  <c r="Z11" i="25" s="1"/>
  <c r="Y11" i="25" a="1"/>
  <c r="Y11" i="25" s="1"/>
  <c r="AG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S16" i="25" s="1"/>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G16" i="25" s="1"/>
  <c r="W5" i="25" l="1"/>
  <c r="AG8" i="25"/>
  <c r="AV13" i="25"/>
  <c r="AU16" i="25"/>
  <c r="AG7" i="25"/>
  <c r="Y16" i="25"/>
  <c r="AG10" i="25"/>
  <c r="AN16" i="25"/>
  <c r="H5" i="25"/>
  <c r="I16" i="25"/>
  <c r="H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G5" i="38" a="1"/>
  <c r="G5" i="38" s="1"/>
  <c r="R5" i="39"/>
  <c r="G10" i="38" a="1"/>
  <c r="G10" i="38" s="1"/>
  <c r="L7" i="38"/>
  <c r="L7" i="39" s="1"/>
  <c r="O8" i="38"/>
  <c r="O8" i="39" s="1"/>
  <c r="Q10" i="38"/>
  <c r="Q10" i="39" s="1"/>
  <c r="G11" i="39"/>
  <c r="L8" i="38"/>
  <c r="L8" i="39" s="1"/>
  <c r="O9" i="38"/>
  <c r="O9" i="39" s="1"/>
  <c r="Q11" i="38"/>
  <c r="Q11" i="39" s="1"/>
  <c r="Z6" i="25" a="1"/>
  <c r="Z6" i="25" s="1"/>
  <c r="AE5" i="25" a="1"/>
  <c r="AE5" i="25" s="1"/>
  <c r="O6" i="25"/>
  <c r="O16" i="25" s="1"/>
  <c r="N6" i="25"/>
  <c r="N16" i="25" s="1"/>
  <c r="M6" i="25"/>
  <c r="M16" i="25" s="1"/>
  <c r="L16" i="25"/>
  <c r="K6" i="25"/>
  <c r="K16" i="25" s="1"/>
  <c r="J6" i="25"/>
  <c r="R6" i="25"/>
  <c r="R16" i="25" s="1"/>
  <c r="S6" i="38" l="1"/>
  <c r="S6" i="39" s="1"/>
  <c r="L5" i="39"/>
  <c r="J5" i="39"/>
  <c r="K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J13" i="39"/>
  <c r="AR16" i="25"/>
  <c r="AV5" i="25"/>
  <c r="AG6" i="25"/>
  <c r="AG16" i="25"/>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<sst xmlns="http://schemas.openxmlformats.org/spreadsheetml/2006/main" count="1840" uniqueCount="694">
  <si>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</si>
  <si>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</si>
  <si>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</si>
  <si>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</si>
  <si>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</si>
  <si>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</si>
  <si>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</si>
  <si>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</si>
  <si>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</si>
  <si>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</si>
  <si>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</si>
  <si>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</si>
  <si>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</si>
  <si>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</si>
  <si>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</si>
  <si>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</si>
  <si>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</si>
  <si>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</si>
  <si>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</si>
  <si>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</si>
  <si>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</si>
  <si>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</si>
  <si>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</si>
  <si>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</si>
  <si>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</si>
  <si>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</si>
  <si>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</si>
  <si>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</si>
  <si>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</si>
  <si>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</si>
  <si>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</si>
  <si>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</si>
  <si>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</si>
  <si>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</si>
  <si>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</si>
  <si>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</si>
  <si>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</si>
  <si>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</si>
  <si>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</si>
  <si>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</si>
  <si>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</si>
  <si>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</si>
  <si>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</si>
  <si>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</si>
  <si>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</si>
  <si>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</si>
  <si>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</si>
  <si>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</si>
  <si>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</si>
  <si>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</si>
  <si>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</si>
  <si>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</si>
  <si>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</si>
  <si>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</si>
  <si>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</si>
  <si>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</si>
  <si>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</si>
  <si>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</si>
  <si>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</si>
  <si>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</si>
  <si>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</si>
  <si>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</si>
  <si>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</si>
  <si>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</si>
  <si>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</si>
  <si>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</si>
  <si>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</si>
  <si>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</si>
  <si>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</si>
  <si>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</si>
  <si>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</si>
  <si>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</si>
  <si>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</si>
  <si>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</si>
  <si>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</si>
  <si>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</si>
  <si>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</si>
  <si>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</si>
  <si>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</si>
  <si>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</si>
  <si>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</si>
  <si>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</si>
  <si>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</si>
  <si>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</si>
  <si>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</si>
  <si>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</si>
  <si>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</si>
  <si>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</si>
  <si>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</si>
  <si>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</si>
  <si>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</si>
  <si>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</si>
  <si>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</si>
  <si>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</si>
  <si>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</si>
  <si>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</si>
  <si>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</si>
  <si>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</si>
  <si>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</si>
  <si>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</si>
  <si>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</si>
  <si>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</si>
  <si>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</si>
  <si>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</si>
  <si>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</si>
  <si>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</si>
  <si>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</si>
  <si>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</si>
  <si>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</si>
  <si>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</si>
  <si>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</si>
  <si>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</si>
  <si>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</si>
  <si>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</si>
  <si>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</si>
  <si>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</si>
  <si>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</si>
  <si>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</si>
  <si>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</si>
  <si>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</si>
  <si>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</si>
  <si>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</si>
  <si>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</si>
  <si>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</si>
  <si>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</si>
  <si>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</si>
  <si>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</si>
  <si>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</si>
  <si>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</si>
  <si>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</si>
  <si>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</si>
  <si>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</si>
  <si>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</si>
  <si>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</si>
  <si>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</si>
  <si>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</si>
  <si>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</si>
  <si>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</si>
  <si>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</si>
  <si>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</si>
  <si>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</si>
  <si>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</si>
  <si>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</si>
  <si>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</si>
  <si>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</si>
  <si>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</si>
  <si>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</si>
  <si>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</si>
  <si>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</si>
  <si>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</si>
  <si>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</si>
  <si>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</si>
  <si>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</si>
  <si>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</si>
  <si>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</si>
  <si>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</si>
  <si>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</si>
  <si>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</si>
  <si>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</si>
  <si>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</si>
  <si>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</si>
  <si>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</si>
  <si>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</si>
  <si>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</si>
  <si>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</si>
  <si>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</si>
  <si>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</si>
  <si>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</si>
  <si>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</si>
  <si>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</si>
  <si>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</si>
  <si>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</si>
  <si>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</si>
  <si>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</si>
  <si>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</si>
  <si>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</si>
  <si>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</si>
  <si>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</si>
  <si>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</si>
  <si>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</si>
  <si>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</si>
  <si>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</si>
  <si>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</si>
  <si>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</si>
  <si>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</si>
  <si>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</si>
  <si>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</si>
  <si>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</si>
  <si>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</si>
  <si>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</si>
  <si>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</si>
  <si>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</si>
  <si>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</si>
  <si>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</si>
  <si>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</si>
  <si>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</si>
  <si>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</si>
  <si>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</si>
  <si>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</si>
  <si>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</si>
  <si>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</si>
  <si>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</si>
  <si>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</si>
  <si>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</si>
  <si>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</si>
  <si>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</si>
  <si>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</si>
  <si>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</si>
  <si>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</si>
  <si>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</si>
  <si>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</si>
  <si>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</si>
  <si>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</si>
  <si>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</si>
  <si>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</si>
  <si>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</si>
  <si>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</si>
  <si>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</si>
  <si>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</si>
  <si>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</si>
  <si>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</si>
  <si>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</si>
  <si>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</si>
  <si>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</si>
  <si>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</si>
  <si>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</si>
  <si>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</si>
  <si>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</si>
  <si>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</si>
  <si>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</si>
  <si>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</si>
  <si>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</si>
  <si>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</si>
  <si>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</si>
  <si>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</si>
  <si>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</si>
  <si>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</si>
  <si>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</si>
  <si>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</si>
  <si>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</si>
  <si>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</si>
  <si>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</si>
  <si>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</si>
  <si>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</si>
  <si>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</si>
  <si>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</si>
  <si>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</si>
  <si>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</si>
  <si>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</si>
  <si>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</si>
  <si>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</si>
  <si>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</si>
  <si>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</si>
  <si>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</si>
  <si>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</si>
  <si>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</si>
  <si>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</si>
  <si>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</si>
  <si>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</si>
  <si>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</si>
  <si>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</si>
  <si>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</si>
  <si>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</si>
  <si>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</si>
  <si>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</si>
  <si>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</si>
  <si>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</si>
  <si>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</si>
  <si>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</si>
  <si>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</si>
  <si>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</si>
  <si>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</si>
  <si>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</si>
  <si>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</si>
  <si>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</si>
  <si>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</si>
  <si>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</si>
  <si>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</si>
  <si>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</si>
  <si>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</si>
  <si>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</si>
  <si>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</si>
  <si>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</si>
  <si>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</si>
  <si>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</si>
  <si>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</si>
  <si>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</si>
  <si>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</si>
  <si>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</si>
  <si>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</si>
  <si>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</si>
  <si>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</si>
  <si>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</si>
  <si>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</si>
  <si>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</si>
  <si>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</si>
  <si>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</si>
  <si>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</si>
  <si>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</si>
  <si>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</si>
  <si>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</si>
  <si>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</si>
  <si>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</si>
  <si>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</si>
  <si>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</si>
  <si>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</si>
  <si>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</si>
  <si>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</si>
  <si>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</si>
  <si>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</si>
  <si>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</si>
  <si>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</si>
  <si>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</si>
  <si>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</si>
  <si>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</si>
  <si>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</si>
  <si>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</si>
  <si>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</si>
  <si>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</si>
  <si>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</si>
  <si>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</si>
  <si>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</si>
  <si>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</si>
  <si>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</si>
  <si>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</si>
  <si>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</si>
  <si>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</si>
  <si>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</si>
  <si>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</si>
  <si>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</si>
  <si>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</si>
  <si>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</si>
  <si>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</si>
  <si>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</si>
  <si>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</si>
  <si>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</si>
  <si>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</si>
  <si>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</si>
  <si>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</si>
  <si>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</si>
  <si>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</si>
  <si>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</si>
  <si>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</si>
  <si>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</si>
  <si>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</si>
  <si>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</si>
  <si>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</si>
  <si>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</si>
  <si>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</si>
  <si>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</si>
  <si>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</si>
  <si>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</si>
  <si>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</si>
  <si>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</si>
  <si>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</si>
  <si>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</si>
  <si>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</si>
  <si>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</si>
  <si>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</si>
  <si>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</si>
  <si>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</si>
  <si>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</si>
  <si>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</si>
  <si>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</si>
  <si>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</si>
  <si>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</si>
  <si>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</si>
  <si>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</si>
  <si>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</si>
  <si>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</si>
  <si>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</si>
  <si>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</si>
  <si>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</si>
  <si>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</si>
  <si>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</si>
  <si>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</si>
  <si>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</si>
  <si>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</si>
  <si>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</si>
  <si>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</si>
  <si>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</si>
  <si>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</si>
  <si>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</si>
  <si>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</si>
  <si>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</si>
  <si>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</si>
  <si>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</si>
  <si>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</si>
  <si>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</si>
  <si>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</si>
  <si>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</si>
  <si>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</si>
  <si>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</si>
  <si>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</si>
  <si>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</si>
  <si>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</si>
  <si>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</si>
  <si>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</si>
  <si>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</si>
  <si>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</si>
  <si>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</si>
  <si>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</si>
  <si>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</si>
  <si>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</si>
  <si>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</si>
  <si>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</si>
  <si>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</si>
  <si>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</si>
  <si>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</si>
  <si>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</si>
  <si>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</si>
  <si>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</si>
  <si>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</si>
  <si>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</si>
  <si>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</si>
  <si>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</si>
  <si>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</si>
  <si>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</si>
  <si>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</si>
  <si>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</si>
  <si>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</si>
  <si>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</si>
  <si>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</si>
  <si>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</si>
  <si>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</si>
  <si>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</si>
  <si>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</si>
  <si>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</si>
  <si>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</si>
  <si>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</si>
  <si>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</si>
  <si>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</si>
  <si>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</si>
  <si>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</si>
  <si>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</si>
  <si>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</si>
  <si>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</si>
  <si>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</si>
  <si>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</si>
  <si>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</si>
  <si>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</si>
  <si>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</si>
  <si>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</si>
  <si>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</si>
  <si>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</si>
  <si>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</si>
  <si>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</si>
  <si>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</si>
  <si>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</si>
  <si>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</si>
  <si>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</si>
  <si>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</si>
  <si>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</si>
  <si>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</si>
  <si>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</si>
  <si>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</si>
  <si>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</si>
  <si>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</si>
  <si>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</si>
  <si>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</si>
  <si>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</si>
  <si>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</si>
  <si>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</si>
  <si>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</si>
  <si>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</si>
  <si>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</si>
  <si>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</si>
  <si>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</si>
  <si>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</si>
  <si>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</si>
  <si>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</si>
  <si>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</si>
  <si>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</si>
  <si>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</si>
  <si>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</si>
  <si>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</si>
  <si>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</si>
  <si>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</si>
  <si>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</si>
  <si>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</si>
  <si>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</si>
  <si>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</si>
  <si>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</si>
  <si>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</si>
  <si>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</si>
  <si>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</si>
  <si>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</si>
  <si>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</si>
  <si>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</si>
  <si>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</si>
  <si>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</si>
  <si>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</si>
  <si>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</si>
  <si>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</si>
  <si>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</si>
  <si>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</si>
  <si>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</si>
  <si>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</si>
  <si>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</si>
  <si>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</si>
  <si>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</si>
  <si>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</si>
  <si>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</si>
  <si>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</si>
  <si>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</si>
  <si>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</si>
  <si>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</si>
  <si>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</si>
  <si>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</si>
  <si>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</si>
  <si>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</si>
  <si>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</si>
  <si>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</si>
  <si>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</si>
  <si>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</si>
  <si>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</si>
  <si>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</si>
  <si>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</si>
  <si>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</si>
  <si>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</si>
  <si>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</si>
  <si>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</si>
  <si>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</si>
  <si>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</si>
  <si>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</si>
  <si>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</si>
  <si>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</si>
  <si>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</si>
  <si>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</si>
  <si>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</si>
  <si>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</si>
  <si>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</si>
  <si>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</si>
  <si>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</si>
  <si>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</si>
  <si>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</si>
  <si>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</si>
  <si>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</si>
  <si>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</si>
  <si>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</si>
  <si>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</si>
  <si>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</si>
  <si>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</si>
  <si>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</si>
  <si>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</si>
  <si>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</si>
  <si>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</si>
  <si>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</si>
  <si>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</si>
  <si>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</si>
  <si>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</si>
  <si>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</si>
  <si>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</si>
  <si>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</si>
  <si>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</si>
  <si>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</si>
  <si>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</si>
  <si>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</si>
  <si>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</si>
  <si>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</si>
  <si>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</si>
  <si>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</si>
  <si>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</si>
  <si>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</si>
  <si>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</si>
  <si>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</si>
  <si>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</si>
  <si>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</si>
  <si>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</si>
  <si>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</si>
  <si>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</si>
  <si>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</si>
  <si>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</si>
  <si>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</si>
  <si>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</si>
  <si>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</si>
  <si>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</si>
  <si>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</si>
  <si>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</si>
  <si>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</si>
  <si>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</si>
  <si>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</si>
  <si>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</si>
  <si>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</si>
  <si>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</si>
  <si>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</si>
  <si>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</si>
  <si>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</si>
  <si>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</si>
  <si>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</si>
  <si>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</si>
  <si>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</si>
  <si>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</si>
  <si>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</si>
  <si>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</si>
  <si>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</si>
  <si>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</si>
  <si>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</si>
  <si>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</si>
  <si>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</si>
  <si>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</si>
  <si>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</si>
  <si>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</si>
  <si>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</si>
  <si>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</si>
  <si>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</si>
  <si>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</si>
  <si>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</si>
  <si>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</si>
  <si>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</si>
  <si>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</si>
  <si>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</si>
  <si>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</si>
  <si>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</si>
  <si>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</si>
  <si>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</si>
  <si>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</si>
  <si>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</si>
  <si>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</si>
  <si>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</si>
  <si>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</si>
  <si>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</si>
  <si>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</si>
  <si>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</si>
  <si>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</si>
  <si>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</si>
  <si>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</si>
  <si>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</si>
  <si>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</si>
  <si>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</si>
  <si>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</si>
  <si>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</si>
  <si>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</si>
  <si>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</si>
  <si>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</si>
  <si>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</si>
  <si>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</si>
  <si>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</si>
  <si>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</si>
  <si>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</si>
  <si>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</si>
  <si>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</si>
  <si>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</si>
  <si>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</si>
  <si>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</si>
  <si>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Fonctionnaires affectés aux fonctions JI, JE, JAP, JLD (pénal uniquemen)</t>
  </si>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</sst>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49" fontId="31" fillId="0" borderId="0" xfId="1" applyNumberFormat="1" applyFont="1" applyAlignment="1">
      <alignment horizontal="left" vertical="top"/>
    </xf>
    <xf numFmtId="0" fontId="23" fillId="0" borderId="12" xfId="1" applyFont="1" applyBorder="1" applyAlignment="1">
      <alignment horizontal="center" vertical="center" wrapText="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169" fontId="76" fillId="7" borderId="12" xfId="4" applyNumberFormat="1" applyFont="1" applyFill="1" applyBorder="1" applyAlignment="1" applyProtection="1">
      <alignment horizontal="right"/>
      <protection hidden="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8" t="s">
        <v>221</v>
      </c>
      <c r="D1" s="398"/>
      <c r="E1" s="398"/>
      <c r="F1" s="101"/>
      <c r="H1" s="26" t="s">
        <v>0</v>
      </c>
    </row>
    <row r="2" spans="1:8" s="105" customFormat="1" ht="20" customHeight="1" x14ac:dyDescent="0.2">
      <c r="A2" s="102"/>
      <c r="B2" s="103"/>
      <c r="C2" s="399" t="s">
        <v>222</v>
      </c>
      <c r="D2" s="399"/>
      <c r="E2" s="399"/>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3" t="s">
        <v>226</v>
      </c>
      <c r="F4" s="404"/>
      <c r="G4" s="119"/>
      <c r="H4" s="26" t="s">
        <v>0</v>
      </c>
    </row>
    <row r="5" spans="1:8" s="26" customFormat="1" ht="48" customHeight="1" x14ac:dyDescent="0.2">
      <c r="A5" s="106"/>
      <c r="B5" s="120" t="s">
        <v>227</v>
      </c>
      <c r="C5" s="116" t="s">
        <v>228</v>
      </c>
      <c r="D5" s="116" t="s">
        <v>229</v>
      </c>
      <c r="E5" s="405" t="s">
        <v>242</v>
      </c>
      <c r="F5" s="406"/>
      <c r="G5" s="118"/>
      <c r="H5" s="26" t="s">
        <v>0</v>
      </c>
    </row>
    <row r="6" spans="1:8" s="26" customFormat="1" ht="48" customHeight="1" x14ac:dyDescent="0.2">
      <c r="A6" s="106"/>
      <c r="B6" s="121" t="s">
        <v>230</v>
      </c>
      <c r="C6" s="117" t="s">
        <v>231</v>
      </c>
      <c r="D6" s="117" t="s">
        <v>232</v>
      </c>
      <c r="E6" s="407" t="s">
        <v>243</v>
      </c>
      <c r="F6" s="408"/>
      <c r="G6" s="118"/>
      <c r="H6" s="26" t="s">
        <v>0</v>
      </c>
    </row>
    <row r="7" spans="1:8" s="26" customFormat="1" ht="48" customHeight="1" x14ac:dyDescent="0.2">
      <c r="A7" s="106"/>
      <c r="B7" s="122" t="s">
        <v>590</v>
      </c>
      <c r="C7" s="117" t="s">
        <v>234</v>
      </c>
      <c r="D7" s="117" t="s">
        <v>235</v>
      </c>
      <c r="E7" s="407" t="s">
        <v>242</v>
      </c>
      <c r="F7" s="408"/>
      <c r="G7" s="118"/>
      <c r="H7" s="26" t="s">
        <v>0</v>
      </c>
    </row>
    <row r="8" spans="1:8" s="26" customFormat="1" ht="23" customHeight="1" x14ac:dyDescent="0.2">
      <c r="A8" s="106"/>
      <c r="B8" s="123" t="s">
        <v>236</v>
      </c>
      <c r="C8" s="409" t="s">
        <v>237</v>
      </c>
      <c r="D8" s="409" t="s">
        <v>238</v>
      </c>
      <c r="E8" s="412" t="s">
        <v>244</v>
      </c>
      <c r="F8" s="412"/>
      <c r="G8" s="118"/>
      <c r="H8" s="26" t="s">
        <v>0</v>
      </c>
    </row>
    <row r="9" spans="1:8" s="26" customFormat="1" ht="23" customHeight="1" x14ac:dyDescent="0.2">
      <c r="A9" s="106"/>
      <c r="B9" s="223" t="s">
        <v>239</v>
      </c>
      <c r="C9" s="410"/>
      <c r="D9" s="410"/>
      <c r="E9" s="413"/>
      <c r="F9" s="413"/>
      <c r="G9" s="118"/>
      <c r="H9" s="26" t="s">
        <v>0</v>
      </c>
    </row>
    <row r="10" spans="1:8" s="26" customFormat="1" ht="23" customHeight="1" x14ac:dyDescent="0.2">
      <c r="A10" s="106"/>
      <c r="B10" s="224" t="s">
        <v>240</v>
      </c>
      <c r="C10" s="410"/>
      <c r="D10" s="410"/>
      <c r="E10" s="413"/>
      <c r="F10" s="413"/>
      <c r="G10" s="118"/>
      <c r="H10" s="26" t="s">
        <v>0</v>
      </c>
    </row>
    <row r="11" spans="1:8" s="26" customFormat="1" ht="23" customHeight="1" thickBot="1" x14ac:dyDescent="0.25">
      <c r="A11" s="106"/>
      <c r="B11" s="219" t="s">
        <v>340</v>
      </c>
      <c r="C11" s="411"/>
      <c r="D11" s="411"/>
      <c r="E11" s="414"/>
      <c r="F11" s="414"/>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2" t="s">
        <v>241</v>
      </c>
      <c r="D13" s="402"/>
      <c r="E13" s="402"/>
      <c r="F13" s="222"/>
      <c r="H13" s="26" t="s">
        <v>0</v>
      </c>
    </row>
    <row r="14" spans="1:8" s="26" customFormat="1" ht="6" customHeight="1" x14ac:dyDescent="0.2">
      <c r="A14" s="112"/>
      <c r="F14" s="107"/>
      <c r="H14" s="26" t="s">
        <v>0</v>
      </c>
    </row>
    <row r="15" spans="1:8" s="26" customFormat="1" ht="27" customHeight="1" x14ac:dyDescent="0.2">
      <c r="A15" s="400" t="s">
        <v>25</v>
      </c>
      <c r="B15" s="400"/>
      <c r="C15" s="400"/>
      <c r="D15" s="400"/>
      <c r="E15" s="400"/>
      <c r="F15" s="401"/>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5" t="s">
        <v>484</v>
      </c>
      <c r="E1" s="416"/>
      <c r="F1" s="416"/>
      <c r="G1" s="416"/>
      <c r="H1" s="416"/>
      <c r="I1" s="416"/>
      <c r="J1" s="417"/>
      <c r="K1" s="417"/>
      <c r="L1" s="417"/>
      <c r="M1" s="417"/>
      <c r="N1" s="417"/>
      <c r="O1" s="417"/>
      <c r="P1" s="417"/>
      <c r="Q1" s="417"/>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8" t="s">
        <v>26</v>
      </c>
      <c r="H4" s="419"/>
      <c r="I4" s="419"/>
      <c r="J4" s="419"/>
      <c r="K4" s="419"/>
      <c r="L4" s="420"/>
      <c r="M4" s="421"/>
      <c r="N4" s="422" t="s">
        <v>27</v>
      </c>
      <c r="O4" s="420"/>
      <c r="P4" s="420"/>
      <c r="Q4" s="420"/>
      <c r="R4" s="420"/>
      <c r="S4" s="420"/>
      <c r="T4" s="423"/>
      <c r="U4" s="418" t="s">
        <v>28</v>
      </c>
      <c r="V4" s="421"/>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AD2" activePane="bottomRight" state="frozen"/>
      <selection activeCell="D1" sqref="D1"/>
      <selection pane="topRight" activeCell="G1" sqref="G1"/>
      <selection pane="bottomLeft" activeCell="D2" sqref="D2"/>
      <selection pane="bottomRight" activeCell="AQ18" sqref="AQ18"/>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5" t="s">
        <v>170</v>
      </c>
      <c r="C1" s="425"/>
      <c r="D1" s="425"/>
      <c r="E1" s="425"/>
      <c r="F1" s="425"/>
      <c r="G1" s="425"/>
      <c r="H1" s="425"/>
      <c r="I1" s="425"/>
    </row>
    <row r="2" spans="1:58" s="41" customFormat="1" ht="12.75" customHeight="1" x14ac:dyDescent="0.15">
      <c r="A2" s="74"/>
      <c r="B2" s="74"/>
      <c r="C2" s="74"/>
      <c r="D2" s="74"/>
      <c r="E2" s="74"/>
      <c r="F2" s="74"/>
      <c r="G2" s="71" t="s">
        <v>169</v>
      </c>
      <c r="H2" s="424"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4" t="s">
        <v>166</v>
      </c>
      <c r="X2" s="69" t="s">
        <v>164</v>
      </c>
      <c r="Y2" s="69" t="s">
        <v>164</v>
      </c>
      <c r="Z2" s="69" t="s">
        <v>164</v>
      </c>
      <c r="AA2" s="69" t="s">
        <v>164</v>
      </c>
      <c r="AB2" s="69" t="s">
        <v>164</v>
      </c>
      <c r="AC2" s="69" t="s">
        <v>164</v>
      </c>
      <c r="AD2" s="69" t="s">
        <v>164</v>
      </c>
      <c r="AE2" s="69" t="s">
        <v>164</v>
      </c>
      <c r="AF2" s="69" t="s">
        <v>164</v>
      </c>
      <c r="AG2" s="424"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4" t="s">
        <v>161</v>
      </c>
      <c r="AW2" s="68" t="s">
        <v>160</v>
      </c>
      <c r="AX2" s="68" t="s">
        <v>160</v>
      </c>
      <c r="AY2" s="68" t="s">
        <v>160</v>
      </c>
      <c r="AZ2" s="68" t="s">
        <v>160</v>
      </c>
      <c r="BA2" s="68" t="s">
        <v>160</v>
      </c>
      <c r="BB2" s="68" t="s">
        <v>160</v>
      </c>
      <c r="BC2" s="68" t="s">
        <v>160</v>
      </c>
      <c r="BD2" s="68" t="s">
        <v>160</v>
      </c>
      <c r="BE2" s="68" t="s">
        <v>160</v>
      </c>
      <c r="BF2" s="424" t="s">
        <v>159</v>
      </c>
    </row>
    <row r="3" spans="1:58" s="41" customFormat="1" ht="26" hidden="1" customHeight="1" x14ac:dyDescent="0.15">
      <c r="A3" s="74"/>
      <c r="B3" s="74"/>
      <c r="C3" s="74"/>
      <c r="D3" s="74"/>
      <c r="E3" s="74"/>
      <c r="F3" s="74"/>
      <c r="G3" s="71" t="s">
        <v>158</v>
      </c>
      <c r="H3" s="424"/>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4"/>
      <c r="X3" s="69" t="s">
        <v>141</v>
      </c>
      <c r="Y3" s="69" t="s">
        <v>140</v>
      </c>
      <c r="Z3" s="69" t="s">
        <v>139</v>
      </c>
      <c r="AA3" s="69" t="s">
        <v>138</v>
      </c>
      <c r="AB3" s="69" t="s">
        <v>137</v>
      </c>
      <c r="AC3" s="69" t="s">
        <v>136</v>
      </c>
      <c r="AD3" s="69" t="s">
        <v>35</v>
      </c>
      <c r="AE3" s="69" t="s">
        <v>34</v>
      </c>
      <c r="AF3" s="69" t="s">
        <v>135</v>
      </c>
      <c r="AG3" s="424"/>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4"/>
      <c r="AW3" s="68" t="s">
        <v>121</v>
      </c>
      <c r="AX3" s="68" t="s">
        <v>120</v>
      </c>
      <c r="AY3" s="68" t="s">
        <v>119</v>
      </c>
      <c r="AZ3" s="68" t="s">
        <v>118</v>
      </c>
      <c r="BA3" s="68" t="s">
        <v>117</v>
      </c>
      <c r="BB3" s="68" t="s">
        <v>116</v>
      </c>
      <c r="BC3" s="68" t="s">
        <v>115</v>
      </c>
      <c r="BD3" s="68" t="s">
        <v>114</v>
      </c>
      <c r="BE3" s="68" t="s">
        <v>113</v>
      </c>
      <c r="BF3" s="424"/>
    </row>
    <row r="4" spans="1:58" s="41" customFormat="1" ht="72" x14ac:dyDescent="0.15">
      <c r="A4" s="73"/>
      <c r="B4" s="72" t="s">
        <v>112</v>
      </c>
      <c r="C4" s="72" t="s">
        <v>111</v>
      </c>
      <c r="D4" s="72" t="s">
        <v>32</v>
      </c>
      <c r="E4" s="72" t="s">
        <v>110</v>
      </c>
      <c r="F4" s="72" t="s">
        <v>109</v>
      </c>
      <c r="G4" s="71" t="s">
        <v>108</v>
      </c>
      <c r="H4" s="424"/>
      <c r="I4" s="70" t="s">
        <v>107</v>
      </c>
      <c r="J4" s="70" t="s">
        <v>106</v>
      </c>
      <c r="K4" s="70" t="s">
        <v>105</v>
      </c>
      <c r="L4" s="70" t="s">
        <v>104</v>
      </c>
      <c r="M4" s="70" t="s">
        <v>103</v>
      </c>
      <c r="N4" s="70" t="s">
        <v>102</v>
      </c>
      <c r="O4" s="70" t="s">
        <v>101</v>
      </c>
      <c r="P4" s="70" t="s">
        <v>100</v>
      </c>
      <c r="Q4" s="70" t="s">
        <v>99</v>
      </c>
      <c r="R4" s="70" t="s">
        <v>645</v>
      </c>
      <c r="S4" s="70" t="s">
        <v>97</v>
      </c>
      <c r="T4" s="70" t="s">
        <v>96</v>
      </c>
      <c r="U4" s="70" t="s">
        <v>95</v>
      </c>
      <c r="V4" s="70" t="s">
        <v>94</v>
      </c>
      <c r="W4" s="424"/>
      <c r="X4" s="69" t="s">
        <v>92</v>
      </c>
      <c r="Y4" s="69" t="s">
        <v>91</v>
      </c>
      <c r="Z4" s="69" t="s">
        <v>90</v>
      </c>
      <c r="AA4" s="69" t="s">
        <v>89</v>
      </c>
      <c r="AB4" s="69" t="s">
        <v>88</v>
      </c>
      <c r="AC4" s="69" t="s">
        <v>87</v>
      </c>
      <c r="AD4" s="69" t="s">
        <v>35</v>
      </c>
      <c r="AE4" s="69" t="s">
        <v>86</v>
      </c>
      <c r="AF4" s="69" t="s">
        <v>646</v>
      </c>
      <c r="AG4" s="424"/>
      <c r="AH4" s="69" t="s">
        <v>84</v>
      </c>
      <c r="AI4" s="69" t="s">
        <v>83</v>
      </c>
      <c r="AJ4" s="69" t="s">
        <v>82</v>
      </c>
      <c r="AK4" s="69" t="s">
        <v>81</v>
      </c>
      <c r="AL4" s="69" t="s">
        <v>80</v>
      </c>
      <c r="AM4" s="69" t="s">
        <v>79</v>
      </c>
      <c r="AN4" s="69" t="s">
        <v>78</v>
      </c>
      <c r="AO4" s="69" t="s">
        <v>77</v>
      </c>
      <c r="AP4" s="69" t="s">
        <v>76</v>
      </c>
      <c r="AQ4" s="69" t="s">
        <v>75</v>
      </c>
      <c r="AR4" s="69" t="s">
        <v>74</v>
      </c>
      <c r="AS4" s="69" t="s">
        <v>73</v>
      </c>
      <c r="AT4" s="69" t="s">
        <v>647</v>
      </c>
      <c r="AU4" s="69" t="s">
        <v>72</v>
      </c>
      <c r="AV4" s="424"/>
      <c r="AW4" s="68" t="s">
        <v>71</v>
      </c>
      <c r="AX4" s="68" t="s">
        <v>70</v>
      </c>
      <c r="AY4" s="68" t="s">
        <v>69</v>
      </c>
      <c r="AZ4" s="68" t="s">
        <v>68</v>
      </c>
      <c r="BA4" s="68" t="s">
        <v>67</v>
      </c>
      <c r="BB4" s="68" t="s">
        <v>66</v>
      </c>
      <c r="BC4" s="68" t="s">
        <v>65</v>
      </c>
      <c r="BD4" s="68" t="s">
        <v>64</v>
      </c>
      <c r="BE4" s="68" t="s">
        <v>63</v>
      </c>
      <c r="BF4" s="424"/>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445" t="e">
        <f>SUM(SUMIFS(
INDEX( 'ETPT A-JUST'!$A:$ZZ,,MATCH("5. TOTAL JLD CIVIL",'ETPT A-JUST'!2:2,0)),
INDEX( 'ETPT A-JUST'!$A:$ZZ,,MATCH("Fonction recodée",'ETPT A-JUST'!2:2,0)),"Magistrat placé ADD"))</f>
        <v>#N/A</v>
      </c>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445"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6" t="s">
        <v>214</v>
      </c>
      <c r="B1" s="426"/>
      <c r="C1" s="426"/>
      <c r="D1" s="426"/>
      <c r="E1" s="426"/>
      <c r="F1" s="426"/>
      <c r="G1" s="426"/>
      <c r="H1" s="426"/>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4" t="s">
        <v>168</v>
      </c>
      <c r="I2" s="71" t="s">
        <v>167</v>
      </c>
      <c r="J2" s="71" t="s">
        <v>167</v>
      </c>
      <c r="K2" s="71" t="s">
        <v>167</v>
      </c>
      <c r="L2" s="71" t="s">
        <v>167</v>
      </c>
      <c r="M2" s="71" t="s">
        <v>167</v>
      </c>
      <c r="N2" s="71" t="s">
        <v>167</v>
      </c>
      <c r="O2" s="95" t="s">
        <v>167</v>
      </c>
      <c r="P2" s="95" t="s">
        <v>167</v>
      </c>
      <c r="Q2" s="71" t="s">
        <v>167</v>
      </c>
      <c r="R2" s="71" t="s">
        <v>167</v>
      </c>
      <c r="S2" s="424" t="s">
        <v>166</v>
      </c>
      <c r="T2" s="71" t="s">
        <v>164</v>
      </c>
      <c r="U2" s="71" t="s">
        <v>164</v>
      </c>
      <c r="V2" s="71" t="s">
        <v>164</v>
      </c>
      <c r="W2" s="71" t="s">
        <v>164</v>
      </c>
      <c r="X2" s="71" t="s">
        <v>164</v>
      </c>
      <c r="Y2" s="71" t="s">
        <v>164</v>
      </c>
      <c r="Z2" s="95" t="s">
        <v>164</v>
      </c>
      <c r="AA2" s="95" t="s">
        <v>164</v>
      </c>
      <c r="AB2" s="71" t="s">
        <v>164</v>
      </c>
      <c r="AC2" s="424" t="s">
        <v>213</v>
      </c>
      <c r="AD2" s="71" t="s">
        <v>212</v>
      </c>
      <c r="AE2" s="71" t="s">
        <v>212</v>
      </c>
      <c r="AF2" s="71" t="s">
        <v>212</v>
      </c>
      <c r="AG2" s="424" t="s">
        <v>211</v>
      </c>
    </row>
    <row r="3" spans="1:33" ht="36" x14ac:dyDescent="0.2">
      <c r="A3" s="74"/>
      <c r="B3" s="74"/>
      <c r="C3" s="74"/>
      <c r="D3" s="74"/>
      <c r="E3" s="74"/>
      <c r="F3" s="74"/>
      <c r="G3" s="71" t="s">
        <v>158</v>
      </c>
      <c r="H3" s="424"/>
      <c r="I3" s="71" t="s">
        <v>210</v>
      </c>
      <c r="J3" s="71" t="s">
        <v>209</v>
      </c>
      <c r="K3" s="71" t="s">
        <v>208</v>
      </c>
      <c r="L3" s="71" t="s">
        <v>207</v>
      </c>
      <c r="M3" s="71" t="s">
        <v>206</v>
      </c>
      <c r="N3" s="71" t="s">
        <v>205</v>
      </c>
      <c r="O3" s="95" t="s">
        <v>204</v>
      </c>
      <c r="P3" s="95" t="s">
        <v>203</v>
      </c>
      <c r="Q3" s="71" t="s">
        <v>202</v>
      </c>
      <c r="R3" s="71" t="s">
        <v>145</v>
      </c>
      <c r="S3" s="424"/>
      <c r="T3" s="71" t="s">
        <v>201</v>
      </c>
      <c r="U3" s="71" t="s">
        <v>200</v>
      </c>
      <c r="V3" s="71" t="s">
        <v>199</v>
      </c>
      <c r="W3" s="71" t="s">
        <v>198</v>
      </c>
      <c r="X3" s="71" t="s">
        <v>197</v>
      </c>
      <c r="Y3" s="71" t="s">
        <v>196</v>
      </c>
      <c r="Z3" s="95" t="s">
        <v>195</v>
      </c>
      <c r="AA3" s="95" t="s">
        <v>194</v>
      </c>
      <c r="AB3" s="71" t="s">
        <v>193</v>
      </c>
      <c r="AC3" s="424"/>
      <c r="AD3" s="71" t="s">
        <v>192</v>
      </c>
      <c r="AE3" s="71" t="s">
        <v>128</v>
      </c>
      <c r="AF3" s="71" t="s">
        <v>122</v>
      </c>
      <c r="AG3" s="424"/>
    </row>
    <row r="4" spans="1:33" ht="60" x14ac:dyDescent="0.2">
      <c r="A4" s="74"/>
      <c r="B4" s="72" t="s">
        <v>112</v>
      </c>
      <c r="C4" s="72" t="s">
        <v>111</v>
      </c>
      <c r="D4" s="72" t="s">
        <v>32</v>
      </c>
      <c r="E4" s="72" t="s">
        <v>110</v>
      </c>
      <c r="F4" s="72" t="s">
        <v>109</v>
      </c>
      <c r="G4" s="71" t="s">
        <v>108</v>
      </c>
      <c r="H4" s="424"/>
      <c r="I4" s="71" t="s">
        <v>191</v>
      </c>
      <c r="J4" s="71" t="s">
        <v>190</v>
      </c>
      <c r="K4" s="71" t="s">
        <v>189</v>
      </c>
      <c r="L4" s="71" t="s">
        <v>188</v>
      </c>
      <c r="M4" s="71" t="s">
        <v>187</v>
      </c>
      <c r="N4" s="71" t="s">
        <v>186</v>
      </c>
      <c r="O4" s="95" t="s">
        <v>185</v>
      </c>
      <c r="P4" s="95" t="s">
        <v>184</v>
      </c>
      <c r="Q4" s="71" t="s">
        <v>183</v>
      </c>
      <c r="R4" s="71" t="s">
        <v>94</v>
      </c>
      <c r="S4" s="424"/>
      <c r="T4" s="71" t="s">
        <v>182</v>
      </c>
      <c r="U4" s="71" t="s">
        <v>181</v>
      </c>
      <c r="V4" s="71" t="s">
        <v>180</v>
      </c>
      <c r="W4" s="71" t="s">
        <v>179</v>
      </c>
      <c r="X4" s="71" t="s">
        <v>178</v>
      </c>
      <c r="Y4" s="71" t="s">
        <v>177</v>
      </c>
      <c r="Z4" s="95" t="s">
        <v>176</v>
      </c>
      <c r="AA4" s="95" t="s">
        <v>175</v>
      </c>
      <c r="AB4" s="71" t="s">
        <v>174</v>
      </c>
      <c r="AC4" s="424"/>
      <c r="AD4" s="71" t="s">
        <v>173</v>
      </c>
      <c r="AE4" s="71" t="s">
        <v>78</v>
      </c>
      <c r="AF4" s="71" t="s">
        <v>72</v>
      </c>
      <c r="AG4" s="424"/>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4" t="s">
        <v>166</v>
      </c>
      <c r="I2" s="71" t="s">
        <v>38</v>
      </c>
      <c r="J2" s="424" t="s">
        <v>165</v>
      </c>
    </row>
    <row r="3" spans="1:10" ht="36" x14ac:dyDescent="0.2">
      <c r="A3" s="87"/>
      <c r="B3" s="86"/>
      <c r="C3" s="86"/>
      <c r="D3" s="86"/>
      <c r="E3" s="86"/>
      <c r="F3" s="86"/>
      <c r="G3" s="71" t="s">
        <v>145</v>
      </c>
      <c r="H3" s="424"/>
      <c r="I3" s="71" t="s">
        <v>142</v>
      </c>
      <c r="J3" s="424"/>
    </row>
    <row r="4" spans="1:10" s="256" customFormat="1" ht="36" x14ac:dyDescent="0.15">
      <c r="A4" s="257"/>
      <c r="B4" s="85" t="s">
        <v>112</v>
      </c>
      <c r="C4" s="85" t="s">
        <v>111</v>
      </c>
      <c r="D4" s="85" t="s">
        <v>32</v>
      </c>
      <c r="E4" s="85" t="s">
        <v>110</v>
      </c>
      <c r="F4" s="85" t="s">
        <v>109</v>
      </c>
      <c r="G4" s="71" t="s">
        <v>94</v>
      </c>
      <c r="H4" s="424"/>
      <c r="I4" s="71" t="s">
        <v>93</v>
      </c>
      <c r="J4" s="424"/>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opLeftCell="E1" zoomScaleNormal="100" workbookViewId="0">
      <selection activeCell="J6" sqref="J6"/>
    </sheetView>
  </sheetViews>
  <sheetFormatPr baseColWidth="10" defaultRowHeight="15" x14ac:dyDescent="0.2"/>
  <cols>
    <col min="1" max="2" width="10.83203125" hidden="1" customWidth="1"/>
    <col min="3" max="3" width="9.83203125" bestFit="1" customWidth="1"/>
    <col min="6" max="6" width="73.83203125" customWidth="1"/>
    <col min="7"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27"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7"/>
    </row>
    <row r="4" spans="1:64" ht="36" x14ac:dyDescent="0.2">
      <c r="A4" s="209"/>
      <c r="B4" s="210" t="s">
        <v>112</v>
      </c>
      <c r="C4" s="210" t="s">
        <v>111</v>
      </c>
      <c r="D4" s="210" t="s">
        <v>32</v>
      </c>
      <c r="E4" s="210" t="s">
        <v>279</v>
      </c>
      <c r="F4" s="244" t="s">
        <v>109</v>
      </c>
      <c r="G4" s="249" t="s">
        <v>476</v>
      </c>
      <c r="H4" s="249" t="s">
        <v>477</v>
      </c>
      <c r="I4" s="249" t="s">
        <v>649</v>
      </c>
      <c r="J4" s="249" t="s">
        <v>650</v>
      </c>
      <c r="K4" s="249" t="s">
        <v>651</v>
      </c>
      <c r="L4" s="249" t="s">
        <v>653</v>
      </c>
      <c r="M4" s="249" t="s">
        <v>660</v>
      </c>
      <c r="N4" s="249" t="s">
        <v>661</v>
      </c>
      <c r="O4" s="249" t="s">
        <v>654</v>
      </c>
      <c r="P4" s="249" t="s">
        <v>655</v>
      </c>
      <c r="Q4" s="249" t="s">
        <v>656</v>
      </c>
      <c r="R4" s="249" t="s">
        <v>652</v>
      </c>
      <c r="S4" s="427"/>
    </row>
    <row r="5" spans="1:64" x14ac:dyDescent="0.2">
      <c r="A5" s="211" t="s">
        <v>283</v>
      </c>
      <c r="B5" s="212"/>
      <c r="C5" s="212"/>
      <c r="D5" s="212">
        <f>ETPT_JUR_ASS_DDG!D5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ETPT_JUR_ASS_DDG!D6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ETPT_JUR_ASS_DDG!D7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ETPT_JUR_ASS_DDG!D8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ETPT_JUR_ASS_DDG!D9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ETPT_JUR_ASS_DDG!D10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ETPT_JUR_ASS_DDG!D11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ETPT_JUR_ASS_DDG!D12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D1" zoomScaleNormal="100" workbookViewId="0">
      <selection activeCell="R4" sqref="R4"/>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4"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4" t="s">
        <v>166</v>
      </c>
      <c r="X2" s="69" t="s">
        <v>164</v>
      </c>
      <c r="Y2" s="69" t="s">
        <v>164</v>
      </c>
      <c r="Z2" s="69" t="s">
        <v>164</v>
      </c>
      <c r="AA2" s="69" t="s">
        <v>164</v>
      </c>
      <c r="AB2" s="69" t="s">
        <v>164</v>
      </c>
      <c r="AC2" s="69" t="s">
        <v>164</v>
      </c>
      <c r="AD2" s="69" t="s">
        <v>164</v>
      </c>
      <c r="AE2" s="69" t="s">
        <v>164</v>
      </c>
      <c r="AF2" s="69" t="s">
        <v>164</v>
      </c>
      <c r="AG2" s="424"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4" t="s">
        <v>161</v>
      </c>
      <c r="AW2" s="68" t="s">
        <v>160</v>
      </c>
      <c r="AX2" s="68" t="s">
        <v>160</v>
      </c>
      <c r="AY2" s="68" t="s">
        <v>160</v>
      </c>
      <c r="AZ2" s="68" t="s">
        <v>160</v>
      </c>
      <c r="BA2" s="68" t="s">
        <v>160</v>
      </c>
      <c r="BB2" s="68" t="s">
        <v>160</v>
      </c>
      <c r="BC2" s="68" t="s">
        <v>160</v>
      </c>
      <c r="BD2" s="68" t="s">
        <v>160</v>
      </c>
      <c r="BE2" s="68" t="s">
        <v>160</v>
      </c>
      <c r="BF2" s="424" t="s">
        <v>159</v>
      </c>
      <c r="BG2"/>
    </row>
    <row r="3" spans="1:59" s="41" customFormat="1" ht="26" hidden="1" customHeight="1" x14ac:dyDescent="0.15">
      <c r="A3" s="74"/>
      <c r="B3" s="74"/>
      <c r="C3" s="74"/>
      <c r="D3" s="74"/>
      <c r="E3" s="74"/>
      <c r="F3" s="74"/>
      <c r="G3" s="71" t="s">
        <v>158</v>
      </c>
      <c r="H3" s="424"/>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4"/>
      <c r="X3" s="69" t="s">
        <v>141</v>
      </c>
      <c r="Y3" s="69" t="s">
        <v>140</v>
      </c>
      <c r="Z3" s="69" t="s">
        <v>139</v>
      </c>
      <c r="AA3" s="69" t="s">
        <v>138</v>
      </c>
      <c r="AB3" s="69" t="s">
        <v>137</v>
      </c>
      <c r="AC3" s="69" t="s">
        <v>136</v>
      </c>
      <c r="AD3" s="69" t="s">
        <v>35</v>
      </c>
      <c r="AE3" s="69" t="s">
        <v>34</v>
      </c>
      <c r="AF3" s="69" t="s">
        <v>135</v>
      </c>
      <c r="AG3" s="424"/>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4"/>
      <c r="AW3" s="68" t="s">
        <v>121</v>
      </c>
      <c r="AX3" s="68" t="s">
        <v>120</v>
      </c>
      <c r="AY3" s="68" t="s">
        <v>119</v>
      </c>
      <c r="AZ3" s="68" t="s">
        <v>118</v>
      </c>
      <c r="BA3" s="68" t="s">
        <v>117</v>
      </c>
      <c r="BB3" s="68" t="s">
        <v>116</v>
      </c>
      <c r="BC3" s="68" t="s">
        <v>115</v>
      </c>
      <c r="BD3" s="68" t="s">
        <v>114</v>
      </c>
      <c r="BE3" s="68" t="s">
        <v>113</v>
      </c>
      <c r="BF3" s="424"/>
    </row>
    <row r="4" spans="1:59" s="41" customFormat="1" ht="72" x14ac:dyDescent="0.2">
      <c r="A4" s="73"/>
      <c r="B4" s="72" t="s">
        <v>112</v>
      </c>
      <c r="C4" s="72" t="s">
        <v>111</v>
      </c>
      <c r="D4" s="72" t="s">
        <v>32</v>
      </c>
      <c r="E4" s="72" t="s">
        <v>110</v>
      </c>
      <c r="F4" s="72" t="s">
        <v>109</v>
      </c>
      <c r="G4" s="71" t="s">
        <v>108</v>
      </c>
      <c r="H4" s="424"/>
      <c r="I4" s="70" t="s">
        <v>107</v>
      </c>
      <c r="J4" s="70" t="s">
        <v>106</v>
      </c>
      <c r="K4" s="70" t="s">
        <v>469</v>
      </c>
      <c r="L4" s="70" t="s">
        <v>104</v>
      </c>
      <c r="M4" s="70" t="s">
        <v>103</v>
      </c>
      <c r="N4" s="70" t="s">
        <v>102</v>
      </c>
      <c r="O4" s="70" t="s">
        <v>101</v>
      </c>
      <c r="P4" s="70" t="s">
        <v>100</v>
      </c>
      <c r="Q4" s="70" t="s">
        <v>99</v>
      </c>
      <c r="R4" s="70" t="s">
        <v>693</v>
      </c>
      <c r="S4" s="70" t="s">
        <v>97</v>
      </c>
      <c r="T4" s="70" t="s">
        <v>96</v>
      </c>
      <c r="U4" s="70" t="s">
        <v>95</v>
      </c>
      <c r="V4" s="70" t="s">
        <v>94</v>
      </c>
      <c r="W4" s="424"/>
      <c r="X4" s="69" t="s">
        <v>92</v>
      </c>
      <c r="Y4" s="69" t="s">
        <v>91</v>
      </c>
      <c r="Z4" s="69" t="s">
        <v>90</v>
      </c>
      <c r="AA4" s="69" t="s">
        <v>89</v>
      </c>
      <c r="AB4" s="69" t="s">
        <v>88</v>
      </c>
      <c r="AC4" s="69" t="s">
        <v>87</v>
      </c>
      <c r="AD4" s="69" t="s">
        <v>35</v>
      </c>
      <c r="AE4" s="69" t="s">
        <v>86</v>
      </c>
      <c r="AF4" s="69" t="s">
        <v>646</v>
      </c>
      <c r="AG4" s="424"/>
      <c r="AH4" s="69" t="s">
        <v>470</v>
      </c>
      <c r="AI4" s="69" t="s">
        <v>83</v>
      </c>
      <c r="AJ4" s="69" t="s">
        <v>82</v>
      </c>
      <c r="AK4" s="69" t="s">
        <v>81</v>
      </c>
      <c r="AL4" s="69" t="s">
        <v>80</v>
      </c>
      <c r="AM4" s="69" t="s">
        <v>79</v>
      </c>
      <c r="AN4" s="69" t="s">
        <v>78</v>
      </c>
      <c r="AO4" s="69" t="s">
        <v>77</v>
      </c>
      <c r="AP4" s="69" t="s">
        <v>76</v>
      </c>
      <c r="AQ4" s="69" t="s">
        <v>75</v>
      </c>
      <c r="AR4" s="69" t="s">
        <v>74</v>
      </c>
      <c r="AS4" s="69" t="s">
        <v>73</v>
      </c>
      <c r="AT4" s="69" t="s">
        <v>647</v>
      </c>
      <c r="AU4" s="69" t="s">
        <v>72</v>
      </c>
      <c r="AV4" s="424"/>
      <c r="AW4" s="68" t="s">
        <v>71</v>
      </c>
      <c r="AX4" s="68" t="s">
        <v>70</v>
      </c>
      <c r="AY4" s="68" t="s">
        <v>471</v>
      </c>
      <c r="AZ4" s="68" t="s">
        <v>472</v>
      </c>
      <c r="BA4" s="68" t="s">
        <v>473</v>
      </c>
      <c r="BB4" s="68" t="s">
        <v>474</v>
      </c>
      <c r="BC4" s="68" t="s">
        <v>65</v>
      </c>
      <c r="BD4" s="68" t="s">
        <v>64</v>
      </c>
      <c r="BE4" s="68" t="s">
        <v>63</v>
      </c>
      <c r="BF4" s="424"/>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8" t="s">
        <v>341</v>
      </c>
      <c r="F22" s="429"/>
      <c r="G22" s="429"/>
      <c r="H22" s="429"/>
      <c r="I22" s="429"/>
      <c r="J22" s="429"/>
      <c r="K22" s="429"/>
      <c r="L22" s="429"/>
      <c r="M22" s="429"/>
      <c r="N22" s="429"/>
      <c r="O22" s="429"/>
      <c r="P22" s="429"/>
      <c r="Q22" s="429"/>
      <c r="R22" s="429"/>
      <c r="S22" s="429"/>
      <c r="T22" s="429"/>
      <c r="U22" s="429"/>
      <c r="V22" s="429"/>
      <c r="W22" s="429"/>
      <c r="X22" s="430"/>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8" t="s">
        <v>342</v>
      </c>
      <c r="F22" s="429"/>
      <c r="G22" s="429"/>
      <c r="H22" s="429"/>
      <c r="I22" s="429"/>
      <c r="J22" s="429"/>
      <c r="K22" s="429"/>
      <c r="L22" s="429"/>
      <c r="M22" s="429"/>
      <c r="N22" s="429"/>
      <c r="O22" s="429"/>
      <c r="P22" s="429"/>
      <c r="Q22" s="429"/>
      <c r="R22" s="429"/>
      <c r="S22" s="429"/>
      <c r="T22" s="429"/>
      <c r="U22" s="429"/>
      <c r="V22" s="429"/>
      <c r="W22" s="429"/>
      <c r="X22" s="429"/>
      <c r="Y22" s="429"/>
      <c r="Z22" s="429"/>
      <c r="AA22" s="429"/>
      <c r="AB22" s="430"/>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4" t="s">
        <v>166</v>
      </c>
    </row>
    <row r="3" spans="1:62" ht="36" hidden="1" x14ac:dyDescent="0.2">
      <c r="A3" s="256"/>
      <c r="B3" s="256"/>
      <c r="C3" s="256"/>
      <c r="D3" s="256"/>
      <c r="E3" s="256"/>
      <c r="F3" s="256"/>
      <c r="G3" s="71" t="s">
        <v>145</v>
      </c>
      <c r="H3" s="424"/>
    </row>
    <row r="4" spans="1:62" ht="36" x14ac:dyDescent="0.2">
      <c r="A4" s="257"/>
      <c r="B4" s="85" t="s">
        <v>112</v>
      </c>
      <c r="C4" s="85" t="s">
        <v>111</v>
      </c>
      <c r="D4" s="85" t="s">
        <v>32</v>
      </c>
      <c r="E4" s="85" t="s">
        <v>110</v>
      </c>
      <c r="F4" s="85" t="s">
        <v>109</v>
      </c>
      <c r="G4" s="71" t="s">
        <v>94</v>
      </c>
      <c r="H4" s="424"/>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8" t="s">
        <v>483</v>
      </c>
      <c r="F18" s="429"/>
      <c r="G18" s="429"/>
      <c r="H18" s="429"/>
      <c r="I18" s="429"/>
      <c r="J18" s="429"/>
      <c r="K18" s="430"/>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abSelected="1" topLeftCell="F1" zoomScaleNormal="100" workbookViewId="0">
      <selection activeCell="L13" sqref="L13:N13"/>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648</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27"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7"/>
    </row>
    <row r="4" spans="1:64" ht="36" x14ac:dyDescent="0.2">
      <c r="A4" s="255"/>
      <c r="B4" s="244" t="s">
        <v>112</v>
      </c>
      <c r="C4" s="244" t="s">
        <v>111</v>
      </c>
      <c r="D4" s="244" t="s">
        <v>32</v>
      </c>
      <c r="E4" s="244" t="s">
        <v>279</v>
      </c>
      <c r="F4" s="244" t="s">
        <v>109</v>
      </c>
      <c r="G4" s="249" t="s">
        <v>476</v>
      </c>
      <c r="H4" s="249" t="s">
        <v>477</v>
      </c>
      <c r="I4" s="249" t="s">
        <v>649</v>
      </c>
      <c r="J4" s="249" t="s">
        <v>650</v>
      </c>
      <c r="K4" s="249" t="s">
        <v>651</v>
      </c>
      <c r="L4" s="249" t="s">
        <v>653</v>
      </c>
      <c r="M4" s="249" t="s">
        <v>660</v>
      </c>
      <c r="N4" s="249" t="s">
        <v>661</v>
      </c>
      <c r="O4" s="249" t="s">
        <v>654</v>
      </c>
      <c r="P4" s="249" t="s">
        <v>655</v>
      </c>
      <c r="Q4" s="249" t="s">
        <v>656</v>
      </c>
      <c r="R4" s="249" t="s">
        <v>652</v>
      </c>
      <c r="S4" s="427"/>
    </row>
    <row r="5" spans="1:64" x14ac:dyDescent="0.2">
      <c r="A5" s="211" t="s">
        <v>283</v>
      </c>
      <c r="B5" s="212"/>
      <c r="C5" s="212"/>
      <c r="D5" s="264"/>
      <c r="E5" s="212" t="s">
        <v>62</v>
      </c>
      <c r="F5" s="245" t="s">
        <v>61</v>
      </c>
      <c r="G5" s="247" t="str">
        <f>IF(ISBLANK(ETPT_JUR_ASS!G5),"",IF(ISERROR(ETPT_JUR_ASS!G5),"",IF(ETPT_JUR_ASS!G5=0,"",ETPT_JUR_ASS!G5)))</f>
        <v/>
      </c>
      <c r="H5" s="247" t="str">
        <f>IF(ISBLANK(ETPT_JUR_ASS!H5),"",IF(ISERROR(ETPT_JUR_ASS!H5),"",IF(ETPT_JUR_ASS!H5=0,"",ETPT_JUR_ASS!H5)))</f>
        <v/>
      </c>
      <c r="I5" s="247" t="str">
        <f>IF(ISBLANK(ETPT_JUR_ASS!I5),"",IF(ISERROR(ETPT_JUR_ASS!I5),"",IF(ETPT_JUR_ASS!I5=0,"",ETPT_JUR_ASS!I5)))</f>
        <v/>
      </c>
      <c r="J5" s="247" t="str">
        <f>IF(ISBLANK(ETPT_JUR_ASS!L5),"",IF(ISERROR(ETPT_JUR_ASS!L5),"",IF(ETPT_JUR_ASS!L5=0,"",ETPT_JUR_ASS!L5)))</f>
        <v/>
      </c>
      <c r="K5" s="247" t="str">
        <f>IF(ISBLANK(ETPT_JUR_ASS!#REF!),"",IF(ISERROR(ETPT_JUR_ASS!#REF!),"",IF(ETPT_JUR_ASS!#REF!=0,"",ETPT_JUR_ASS!#REF!)))</f>
        <v/>
      </c>
      <c r="L5" s="247" t="str">
        <f>IF(ISBLANK(ETPT_JUR_ASS!L5),"",IF(ISERROR(ETPT_JUR_ASS!L5),"",IF(ETPT_JUR_ASS!L5=0,"",ETPT_JUR_ASS!L5)))</f>
        <v/>
      </c>
      <c r="M5" s="247"/>
      <c r="N5" s="247"/>
      <c r="O5" s="247" t="str">
        <f>IF(ISBLANK(ETPT_JUR_ASS!O5),"",IF(ISERROR(ETPT_JUR_ASS!O5),"",IF(ETPT_JUR_ASS!O5=0,"",ETPT_JUR_ASS!O5)))</f>
        <v/>
      </c>
      <c r="P5" s="247" t="str">
        <f>IF(ISBLANK(ETPT_JUR_ASS!P5),"",IF(ISERROR(ETPT_JUR_ASS!P5),"",IF(ETPT_JUR_ASS!P5=0,"",ETPT_JUR_ASS!P5)))</f>
        <v/>
      </c>
      <c r="Q5" s="247" t="str">
        <f>IF(ISBLANK(ETPT_JUR_ASS!Q5),"",IF(ISERROR(ETPT_JUR_ASS!Q5),"",IF(ETPT_JUR_ASS!Q5=0,"",ETPT_JUR_ASS!Q5)))</f>
        <v/>
      </c>
      <c r="R5" s="247" t="str">
        <f>IF(ISBLANK(ETPT_JUR_ASS!R5),"",IF(ISERROR(ETPT_JUR_ASS!R5),"",IF(ETPT_JUR_ASS!R5=0,"",ETPT_JUR_ASS!R5)))</f>
        <v/>
      </c>
      <c r="S5" s="214">
        <f>ETPT_JUR_ASS!S5</f>
        <v>0</v>
      </c>
    </row>
    <row r="6" spans="1:64" x14ac:dyDescent="0.2">
      <c r="A6" s="211" t="s">
        <v>283</v>
      </c>
      <c r="B6" s="212"/>
      <c r="C6" s="212"/>
      <c r="D6" s="218">
        <f>$D$5</f>
        <v>0</v>
      </c>
      <c r="E6" s="212" t="s">
        <v>60</v>
      </c>
      <c r="F6" s="245" t="s">
        <v>59</v>
      </c>
      <c r="G6" s="247" t="str">
        <f>IF(ISBLANK(ETPT_JUR_ASS!G6),"",IF(ISERROR(ETPT_JUR_ASS!G6),"",IF(ETPT_JUR_ASS!G6=0,"",ETPT_JUR_ASS!G6)))</f>
        <v/>
      </c>
      <c r="H6" s="247" t="str">
        <f>IF(ISBLANK(ETPT_JUR_ASS!H6),"",IF(ISERROR(ETPT_JUR_ASS!H6),"",IF(ETPT_JUR_ASS!H6=0,"",ETPT_JUR_ASS!H6)))</f>
        <v/>
      </c>
      <c r="I6" s="247" t="str">
        <f>IF(ISBLANK(ETPT_JUR_ASS!I6),"",IF(ISERROR(ETPT_JUR_ASS!I6),"",IF(ETPT_JUR_ASS!I6=0,"",ETPT_JUR_ASS!I6)))</f>
        <v/>
      </c>
      <c r="J6" s="247"/>
      <c r="K6" s="247"/>
      <c r="L6" s="247" t="str">
        <f>IF(ISBLANK(ETPT_JUR_ASS!L6),"",IF(ISERROR(ETPT_JUR_ASS!L6),"",IF(ETPT_JUR_ASS!L6=0,"",ETPT_JUR_ASS!L6)))</f>
        <v/>
      </c>
      <c r="M6" s="247"/>
      <c r="N6" s="247"/>
      <c r="O6" s="247" t="str">
        <f>IF(ISBLANK(ETPT_JUR_ASS!O6),"",IF(ISERROR(ETPT_JUR_ASS!O6),"",IF(ETPT_JUR_ASS!O6=0,"",ETPT_JUR_ASS!O6)))</f>
        <v/>
      </c>
      <c r="P6" s="247" t="str">
        <f>IF(ISBLANK(ETPT_JUR_ASS!P6),"",IF(ISERROR(ETPT_JUR_ASS!P6),"",IF(ETPT_JUR_ASS!P6=0,"",ETPT_JUR_ASS!P6)))</f>
        <v/>
      </c>
      <c r="Q6" s="247" t="str">
        <f>IF(ISBLANK(ETPT_JUR_ASS!Q6),"",IF(ISERROR(ETPT_JUR_ASS!Q6),"",IF(ETPT_JUR_ASS!Q6=0,"",ETPT_JUR_ASS!Q6)))</f>
        <v/>
      </c>
      <c r="R6" s="247" t="str">
        <f>IF(ISBLANK(ETPT_JUR_ASS!R6),"",IF(ISERROR(ETPT_JUR_ASS!R6),"",IF(ETPT_JUR_ASS!R6=0,"",ETPT_JUR_ASS!R6)))</f>
        <v/>
      </c>
      <c r="S6" s="214">
        <f>ETPT_JUR_ASS!S6</f>
        <v>0</v>
      </c>
    </row>
    <row r="7" spans="1:64" x14ac:dyDescent="0.2">
      <c r="A7" s="211" t="s">
        <v>283</v>
      </c>
      <c r="B7" s="212"/>
      <c r="C7" s="212"/>
      <c r="D7" s="218">
        <f t="shared" ref="D7:D12" si="0">$D$5</f>
        <v>0</v>
      </c>
      <c r="E7" s="212" t="s">
        <v>56</v>
      </c>
      <c r="F7" s="245" t="s">
        <v>55</v>
      </c>
      <c r="G7" s="247" t="str">
        <f>IF(ISBLANK(ETPT_JUR_ASS!G7),"",IF(ISERROR(ETPT_JUR_ASS!G7),"",IF(ETPT_JUR_ASS!G7=0,"",ETPT_JUR_ASS!G7)))</f>
        <v/>
      </c>
      <c r="H7" s="247" t="str">
        <f>IF(ISBLANK(ETPT_JUR_ASS!H7),"",IF(ISERROR(ETPT_JUR_ASS!H7),"",IF(ETPT_JUR_ASS!H7=0,"",ETPT_JUR_ASS!H7)))</f>
        <v/>
      </c>
      <c r="I7" s="247" t="str">
        <f>IF(ISBLANK(ETPT_JUR_ASS!I7),"",IF(ISERROR(ETPT_JUR_ASS!I7),"",IF(ETPT_JUR_ASS!I7=0,"",ETPT_JUR_ASS!I7)))</f>
        <v/>
      </c>
      <c r="J7" s="247"/>
      <c r="K7" s="247"/>
      <c r="L7" s="247" t="str">
        <f>IF(ISBLANK(ETPT_JUR_ASS!L7),"",IF(ISERROR(ETPT_JUR_ASS!L7),"",IF(ETPT_JUR_ASS!L7=0,"",ETPT_JUR_ASS!L7)))</f>
        <v/>
      </c>
      <c r="M7" s="247"/>
      <c r="N7" s="247"/>
      <c r="O7" s="247" t="str">
        <f>IF(ISBLANK(ETPT_JUR_ASS!O7),"",IF(ISERROR(ETPT_JUR_ASS!O7),"",IF(ETPT_JUR_ASS!O7=0,"",ETPT_JUR_ASS!O7)))</f>
        <v/>
      </c>
      <c r="P7" s="247" t="str">
        <f>IF(ISBLANK(ETPT_JUR_ASS!P7),"",IF(ISERROR(ETPT_JUR_ASS!P7),"",IF(ETPT_JUR_ASS!P7=0,"",ETPT_JUR_ASS!P7)))</f>
        <v/>
      </c>
      <c r="Q7" s="247" t="str">
        <f>IF(ISBLANK(ETPT_JUR_ASS!Q7),"",IF(ISERROR(ETPT_JUR_ASS!Q7),"",IF(ETPT_JUR_ASS!Q7=0,"",ETPT_JUR_ASS!Q7)))</f>
        <v/>
      </c>
      <c r="R7" s="247" t="str">
        <f>IF(ISBLANK(ETPT_JUR_ASS!R7),"",IF(ISERROR(ETPT_JUR_ASS!R7),"",IF(ETPT_JUR_ASS!R7=0,"",ETPT_JUR_ASS!R7)))</f>
        <v/>
      </c>
      <c r="S7" s="214">
        <f>ETPT_JUR_ASS!S7</f>
        <v>0</v>
      </c>
    </row>
    <row r="8" spans="1:64" x14ac:dyDescent="0.2">
      <c r="A8" s="211" t="s">
        <v>283</v>
      </c>
      <c r="B8" s="212"/>
      <c r="C8" s="212"/>
      <c r="D8" s="218">
        <f t="shared" si="0"/>
        <v>0</v>
      </c>
      <c r="E8" s="212" t="s">
        <v>54</v>
      </c>
      <c r="F8" s="245" t="s">
        <v>53</v>
      </c>
      <c r="G8" s="247" t="str">
        <f>IF(ISBLANK(ETPT_JUR_ASS!G8),"",IF(ISERROR(ETPT_JUR_ASS!G8),"",IF(ETPT_JUR_ASS!G8=0,"",ETPT_JUR_ASS!G8)))</f>
        <v/>
      </c>
      <c r="H8" s="247" t="str">
        <f>IF(ISBLANK(ETPT_JUR_ASS!H8),"",IF(ISERROR(ETPT_JUR_ASS!H8),"",IF(ETPT_JUR_ASS!H8=0,"",ETPT_JUR_ASS!H8)))</f>
        <v/>
      </c>
      <c r="I8" s="247" t="str">
        <f>IF(ISBLANK(ETPT_JUR_ASS!I8),"",IF(ISERROR(ETPT_JUR_ASS!I8),"",IF(ETPT_JUR_ASS!I8=0,"",ETPT_JUR_ASS!I8)))</f>
        <v/>
      </c>
      <c r="J8" s="247"/>
      <c r="K8" s="247"/>
      <c r="L8" s="247" t="str">
        <f>IF(ISBLANK(ETPT_JUR_ASS!L8),"",IF(ISERROR(ETPT_JUR_ASS!L8),"",IF(ETPT_JUR_ASS!L8=0,"",ETPT_JUR_ASS!L8)))</f>
        <v/>
      </c>
      <c r="M8" s="247"/>
      <c r="N8" s="247"/>
      <c r="O8" s="247" t="str">
        <f>IF(ISBLANK(ETPT_JUR_ASS!O8),"",IF(ISERROR(ETPT_JUR_ASS!O8),"",IF(ETPT_JUR_ASS!O8=0,"",ETPT_JUR_ASS!O8)))</f>
        <v/>
      </c>
      <c r="P8" s="247" t="str">
        <f>IF(ISBLANK(ETPT_JUR_ASS!P8),"",IF(ISERROR(ETPT_JUR_ASS!P8),"",IF(ETPT_JUR_ASS!P8=0,"",ETPT_JUR_ASS!P8)))</f>
        <v/>
      </c>
      <c r="Q8" s="247" t="str">
        <f>IF(ISBLANK(ETPT_JUR_ASS!Q8),"",IF(ISERROR(ETPT_JUR_ASS!Q8),"",IF(ETPT_JUR_ASS!Q8=0,"",ETPT_JUR_ASS!Q8)))</f>
        <v/>
      </c>
      <c r="R8" s="247" t="str">
        <f>IF(ISBLANK(ETPT_JUR_ASS!R8),"",IF(ISERROR(ETPT_JUR_ASS!R8),"",IF(ETPT_JUR_ASS!R8=0,"",ETPT_JUR_ASS!R8)))</f>
        <v/>
      </c>
      <c r="S8" s="214">
        <f>ETPT_JUR_ASS!S8</f>
        <v>0</v>
      </c>
    </row>
    <row r="9" spans="1:64" x14ac:dyDescent="0.2">
      <c r="A9" s="211" t="s">
        <v>283</v>
      </c>
      <c r="B9" s="212"/>
      <c r="C9" s="212"/>
      <c r="D9" s="218">
        <f t="shared" si="0"/>
        <v>0</v>
      </c>
      <c r="E9" s="212" t="s">
        <v>52</v>
      </c>
      <c r="F9" s="245" t="s">
        <v>51</v>
      </c>
      <c r="G9" s="247" t="str">
        <f>IF(ISBLANK(ETPT_JUR_ASS!G9),"",IF(ISERROR(ETPT_JUR_ASS!G9),"",IF(ETPT_JUR_ASS!G9=0,"",ETPT_JUR_ASS!G9)))</f>
        <v/>
      </c>
      <c r="H9" s="247" t="str">
        <f>IF(ISBLANK(ETPT_JUR_ASS!H9),"",IF(ISERROR(ETPT_JUR_ASS!H9),"",IF(ETPT_JUR_ASS!H9=0,"",ETPT_JUR_ASS!H9)))</f>
        <v/>
      </c>
      <c r="I9" s="247" t="str">
        <f>IF(ISBLANK(ETPT_JUR_ASS!I9),"",IF(ISERROR(ETPT_JUR_ASS!I9),"",IF(ETPT_JUR_ASS!I9=0,"",ETPT_JUR_ASS!I9)))</f>
        <v/>
      </c>
      <c r="J9" s="247"/>
      <c r="K9" s="247"/>
      <c r="L9" s="247" t="str">
        <f>IF(ISBLANK(ETPT_JUR_ASS!L9),"",IF(ISERROR(ETPT_JUR_ASS!L9),"",IF(ETPT_JUR_ASS!L9=0,"",ETPT_JUR_ASS!L9)))</f>
        <v/>
      </c>
      <c r="M9" s="247"/>
      <c r="N9" s="247"/>
      <c r="O9" s="247" t="str">
        <f>IF(ISBLANK(ETPT_JUR_ASS!O9),"",IF(ISERROR(ETPT_JUR_ASS!O9),"",IF(ETPT_JUR_ASS!O9=0,"",ETPT_JUR_ASS!O9)))</f>
        <v/>
      </c>
      <c r="P9" s="247" t="str">
        <f>IF(ISBLANK(ETPT_JUR_ASS!P9),"",IF(ISERROR(ETPT_JUR_ASS!P9),"",IF(ETPT_JUR_ASS!P9=0,"",ETPT_JUR_ASS!P9)))</f>
        <v/>
      </c>
      <c r="Q9" s="247" t="str">
        <f>IF(ISBLANK(ETPT_JUR_ASS!Q9),"",IF(ISERROR(ETPT_JUR_ASS!Q9),"",IF(ETPT_JUR_ASS!Q9=0,"",ETPT_JUR_ASS!Q9)))</f>
        <v/>
      </c>
      <c r="R9" s="247" t="str">
        <f>IF(ISBLANK(ETPT_JUR_ASS!R9),"",IF(ISERROR(ETPT_JUR_ASS!R9),"",IF(ETPT_JUR_ASS!R9=0,"",ETPT_JUR_ASS!R9)))</f>
        <v/>
      </c>
      <c r="S9" s="214">
        <f>ETPT_JUR_ASS!S9</f>
        <v>0</v>
      </c>
    </row>
    <row r="10" spans="1:64" x14ac:dyDescent="0.2">
      <c r="A10" s="211" t="s">
        <v>283</v>
      </c>
      <c r="B10" s="212"/>
      <c r="C10" s="212"/>
      <c r="D10" s="218">
        <f t="shared" si="0"/>
        <v>0</v>
      </c>
      <c r="E10" s="212" t="s">
        <v>50</v>
      </c>
      <c r="F10" s="245" t="s">
        <v>49</v>
      </c>
      <c r="G10" s="247" t="str">
        <f>IF(ISBLANK(ETPT_JUR_ASS!G10),"",IF(ISERROR(ETPT_JUR_ASS!G10),"",IF(ETPT_JUR_ASS!G10=0,"",ETPT_JUR_ASS!G10)))</f>
        <v/>
      </c>
      <c r="H10" s="247" t="str">
        <f>IF(ISBLANK(ETPT_JUR_ASS!H10),"",IF(ISERROR(ETPT_JUR_ASS!H10),"",IF(ETPT_JUR_ASS!H10=0,"",ETPT_JUR_ASS!H10)))</f>
        <v/>
      </c>
      <c r="I10" s="247" t="str">
        <f>IF(ISBLANK(ETPT_JUR_ASS!I10),"",IF(ISERROR(ETPT_JUR_ASS!I10),"",IF(ETPT_JUR_ASS!I10=0,"",ETPT_JUR_ASS!I10)))</f>
        <v/>
      </c>
      <c r="J10" s="247"/>
      <c r="K10" s="247"/>
      <c r="L10" s="247" t="str">
        <f>IF(ISBLANK(ETPT_JUR_ASS!L10),"",IF(ISERROR(ETPT_JUR_ASS!L10),"",IF(ETPT_JUR_ASS!L10=0,"",ETPT_JUR_ASS!L10)))</f>
        <v/>
      </c>
      <c r="M10" s="247"/>
      <c r="N10" s="247"/>
      <c r="O10" s="247" t="str">
        <f>IF(ISBLANK(ETPT_JUR_ASS!O10),"",IF(ISERROR(ETPT_JUR_ASS!O10),"",IF(ETPT_JUR_ASS!O10=0,"",ETPT_JUR_ASS!O10)))</f>
        <v/>
      </c>
      <c r="P10" s="247" t="str">
        <f>IF(ISBLANK(ETPT_JUR_ASS!P10),"",IF(ISERROR(ETPT_JUR_ASS!P10),"",IF(ETPT_JUR_ASS!P10=0,"",ETPT_JUR_ASS!P10)))</f>
        <v/>
      </c>
      <c r="Q10" s="247" t="str">
        <f>IF(ISBLANK(ETPT_JUR_ASS!Q10),"",IF(ISERROR(ETPT_JUR_ASS!Q10),"",IF(ETPT_JUR_ASS!Q10=0,"",ETPT_JUR_ASS!Q10)))</f>
        <v/>
      </c>
      <c r="R10" s="247" t="str">
        <f>IF(ISBLANK(ETPT_JUR_ASS!R10),"",IF(ISERROR(ETPT_JUR_ASS!R10),"",IF(ETPT_JUR_ASS!R10=0,"",ETPT_JUR_ASS!R10)))</f>
        <v/>
      </c>
      <c r="S10" s="214">
        <f>ETPT_JUR_ASS!S10</f>
        <v>0</v>
      </c>
    </row>
    <row r="11" spans="1:64" x14ac:dyDescent="0.2">
      <c r="A11" s="211" t="s">
        <v>283</v>
      </c>
      <c r="B11" s="212"/>
      <c r="C11" s="212"/>
      <c r="D11" s="218">
        <f t="shared" si="0"/>
        <v>0</v>
      </c>
      <c r="E11" s="212" t="s">
        <v>48</v>
      </c>
      <c r="F11" s="245" t="s">
        <v>47</v>
      </c>
      <c r="G11" s="247" t="str">
        <f>IF(ISBLANK(ETPT_JUR_ASS!G11),"",IF(ISERROR(ETPT_JUR_ASS!G11),"",IF(ETPT_JUR_ASS!G11=0,"",ETPT_JUR_ASS!G11)))</f>
        <v/>
      </c>
      <c r="H11" s="247" t="str">
        <f>IF(ISBLANK(ETPT_JUR_ASS!H11),"",IF(ISERROR(ETPT_JUR_ASS!H11),"",IF(ETPT_JUR_ASS!H11=0,"",ETPT_JUR_ASS!H11)))</f>
        <v/>
      </c>
      <c r="I11" s="247" t="str">
        <f>IF(ISBLANK(ETPT_JUR_ASS!I11),"",IF(ISERROR(ETPT_JUR_ASS!I11),"",IF(ETPT_JUR_ASS!I11=0,"",ETPT_JUR_ASS!I11)))</f>
        <v/>
      </c>
      <c r="J11" s="247"/>
      <c r="K11" s="247"/>
      <c r="L11" s="247" t="str">
        <f>IF(ISBLANK(ETPT_JUR_ASS!L11),"",IF(ISERROR(ETPT_JUR_ASS!L11),"",IF(ETPT_JUR_ASS!L11=0,"",ETPT_JUR_ASS!L11)))</f>
        <v/>
      </c>
      <c r="M11" s="247"/>
      <c r="N11" s="247"/>
      <c r="O11" s="247" t="str">
        <f>IF(ISBLANK(ETPT_JUR_ASS!O11),"",IF(ISERROR(ETPT_JUR_ASS!O11),"",IF(ETPT_JUR_ASS!O11=0,"",ETPT_JUR_ASS!O11)))</f>
        <v/>
      </c>
      <c r="P11" s="247" t="str">
        <f>IF(ISBLANK(ETPT_JUR_ASS!P11),"",IF(ISERROR(ETPT_JUR_ASS!P11),"",IF(ETPT_JUR_ASS!P11=0,"",ETPT_JUR_ASS!P11)))</f>
        <v/>
      </c>
      <c r="Q11" s="247" t="str">
        <f>IF(ISBLANK(ETPT_JUR_ASS!Q11),"",IF(ISERROR(ETPT_JUR_ASS!Q11),"",IF(ETPT_JUR_ASS!Q11=0,"",ETPT_JUR_ASS!Q11)))</f>
        <v/>
      </c>
      <c r="R11" s="247" t="str">
        <f>IF(ISBLANK(ETPT_JUR_ASS!R11),"",IF(ISERROR(ETPT_JUR_ASS!R11),"",IF(ETPT_JUR_ASS!R11=0,"",ETPT_JUR_ASS!R11)))</f>
        <v/>
      </c>
      <c r="S11" s="214">
        <f>ETPT_JUR_ASS!S11</f>
        <v>0</v>
      </c>
    </row>
    <row r="12" spans="1:64" x14ac:dyDescent="0.2">
      <c r="A12" s="211" t="s">
        <v>283</v>
      </c>
      <c r="B12" s="212"/>
      <c r="C12" s="212"/>
      <c r="D12" s="260">
        <f t="shared" si="0"/>
        <v>0</v>
      </c>
      <c r="E12" s="261" t="s">
        <v>46</v>
      </c>
      <c r="F12" s="245" t="s">
        <v>45</v>
      </c>
      <c r="G12" s="247" t="str">
        <f>IF(ISBLANK(ETPT_JUR_ASS!G12),"",IF(ISERROR(ETPT_JUR_ASS!G12),"",IF(ETPT_JUR_ASS!G12=0,"",ETPT_JUR_ASS!G12)))</f>
        <v/>
      </c>
      <c r="H12" s="247" t="str">
        <f>IF(ISBLANK(ETPT_JUR_ASS!H12),"",IF(ISERROR(ETPT_JUR_ASS!H12),"",IF(ETPT_JUR_ASS!H12=0,"",ETPT_JUR_ASS!H12)))</f>
        <v/>
      </c>
      <c r="I12" s="247" t="str">
        <f>IF(ISBLANK(ETPT_JUR_ASS!I12),"",IF(ISERROR(ETPT_JUR_ASS!I12),"",IF(ETPT_JUR_ASS!I12=0,"",ETPT_JUR_ASS!I12)))</f>
        <v/>
      </c>
      <c r="J12" s="247"/>
      <c r="K12" s="247"/>
      <c r="L12" s="247" t="str">
        <f>IF(ISBLANK(ETPT_JUR_ASS!L12),"",IF(ISERROR(ETPT_JUR_ASS!L12),"",IF(ETPT_JUR_ASS!L12=0,"",ETPT_JUR_ASS!L12)))</f>
        <v/>
      </c>
      <c r="M12" s="247"/>
      <c r="N12" s="247"/>
      <c r="O12" s="247" t="str">
        <f>IF(ISBLANK(ETPT_JUR_ASS!O12),"",IF(ISERROR(ETPT_JUR_ASS!O12),"",IF(ETPT_JUR_ASS!O12=0,"",ETPT_JUR_ASS!O12)))</f>
        <v/>
      </c>
      <c r="P12" s="247" t="str">
        <f>IF(ISBLANK(ETPT_JUR_ASS!P12),"",IF(ISERROR(ETPT_JUR_ASS!P12),"",IF(ETPT_JUR_ASS!P12=0,"",ETPT_JUR_ASS!P12)))</f>
        <v/>
      </c>
      <c r="Q12" s="247" t="str">
        <f>IF(ISBLANK(ETPT_JUR_ASS!Q12),"",IF(ISERROR(ETPT_JUR_ASS!Q12),"",IF(ETPT_JUR_ASS!Q12=0,"",ETPT_JUR_ASS!Q12)))</f>
        <v/>
      </c>
      <c r="R12" s="247" t="str">
        <f>IF(ISBLANK(ETPT_JUR_ASS!R12),"",IF(ISERROR(ETPT_JUR_ASS!R12),"",IF(ETPT_JUR_ASS!R12=0,"",ETPT_JUR_ASS!R12)))</f>
        <v/>
      </c>
      <c r="S12" s="214">
        <f>ETPT_JUR_ASS!S12</f>
        <v>0</v>
      </c>
    </row>
    <row r="13" spans="1:64" x14ac:dyDescent="0.2">
      <c r="A13" s="246"/>
      <c r="B13" s="246"/>
      <c r="C13" s="246"/>
      <c r="D13" s="262"/>
      <c r="E13" s="263"/>
      <c r="F13" s="259" t="s">
        <v>39</v>
      </c>
      <c r="G13" s="214">
        <f>ETPT_JUR_ASS!G13</f>
        <v>0</v>
      </c>
      <c r="H13" s="214">
        <f>ETPT_JUR_ASS!H13</f>
        <v>0</v>
      </c>
      <c r="I13" s="214">
        <f>ETPT_JUR_ASS!I13</f>
        <v>0</v>
      </c>
      <c r="J13" s="214">
        <f>ETPT_JUR_ASS!L13</f>
        <v>0</v>
      </c>
      <c r="K13" s="214">
        <f>ETPT_JUR_ASS!M13</f>
        <v>0</v>
      </c>
      <c r="L13" s="214">
        <f>ETPT_JUR_ASS!L13</f>
        <v>0</v>
      </c>
      <c r="M13" s="214">
        <f>ETPT_JUR_ASS!M13</f>
        <v>0</v>
      </c>
      <c r="N13" s="214">
        <f>ETPT_JUR_ASS!N13</f>
        <v>0</v>
      </c>
      <c r="O13" s="214">
        <f>ETPT_JUR_ASS!O13</f>
        <v>0</v>
      </c>
      <c r="P13" s="214">
        <f>ETPT_JUR_ASS!P13</f>
        <v>0</v>
      </c>
      <c r="Q13" s="214">
        <f>ETPT_JUR_ASS!Q13</f>
        <v>0</v>
      </c>
      <c r="R13" s="214">
        <f>ETPT_JUR_ASS!R13</f>
        <v>0</v>
      </c>
      <c r="S13" s="214">
        <f>ETPT_JUR_ASS!S13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R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2" t="s">
        <v>170</v>
      </c>
      <c r="C1" s="432"/>
      <c r="D1" s="432"/>
      <c r="E1" s="432"/>
      <c r="F1" s="432"/>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3"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3" t="s">
        <v>161</v>
      </c>
      <c r="AF2" s="307" t="s">
        <v>160</v>
      </c>
      <c r="AG2" s="307" t="s">
        <v>160</v>
      </c>
      <c r="AH2" s="307" t="s">
        <v>160</v>
      </c>
      <c r="AI2" s="307" t="s">
        <v>160</v>
      </c>
      <c r="AJ2" s="307" t="s">
        <v>160</v>
      </c>
      <c r="AK2" s="307" t="s">
        <v>160</v>
      </c>
      <c r="AL2" s="307" t="s">
        <v>160</v>
      </c>
      <c r="AM2" s="307" t="s">
        <v>160</v>
      </c>
      <c r="AN2" s="307" t="s">
        <v>160</v>
      </c>
      <c r="AO2" s="434" t="s">
        <v>159</v>
      </c>
      <c r="BA2" s="127"/>
      <c r="BB2" s="127"/>
      <c r="BC2" s="127"/>
      <c r="BD2" s="127"/>
      <c r="BE2" s="127"/>
      <c r="BF2" s="127"/>
      <c r="BG2" s="127"/>
      <c r="BH2" s="127"/>
      <c r="BI2" s="127"/>
      <c r="BJ2" s="431"/>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3"/>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3"/>
      <c r="AF3" s="307" t="s">
        <v>121</v>
      </c>
      <c r="AG3" s="307" t="s">
        <v>120</v>
      </c>
      <c r="AH3" s="307" t="s">
        <v>119</v>
      </c>
      <c r="AI3" s="307" t="s">
        <v>118</v>
      </c>
      <c r="AJ3" s="307" t="s">
        <v>117</v>
      </c>
      <c r="AK3" s="307" t="s">
        <v>116</v>
      </c>
      <c r="AL3" s="307" t="s">
        <v>115</v>
      </c>
      <c r="AM3" s="307" t="s">
        <v>114</v>
      </c>
      <c r="AN3" s="307" t="s">
        <v>113</v>
      </c>
      <c r="AO3" s="435"/>
      <c r="BA3" s="127"/>
      <c r="BB3" s="127"/>
      <c r="BC3" s="127"/>
      <c r="BD3" s="127"/>
      <c r="BE3" s="127"/>
      <c r="BF3" s="127"/>
      <c r="BG3" s="127"/>
      <c r="BH3" s="127"/>
      <c r="BI3" s="127"/>
      <c r="BJ3" s="431"/>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3"/>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3"/>
      <c r="AF4" s="307" t="s">
        <v>71</v>
      </c>
      <c r="AG4" s="307" t="s">
        <v>70</v>
      </c>
      <c r="AH4" s="307" t="s">
        <v>69</v>
      </c>
      <c r="AI4" s="307" t="s">
        <v>68</v>
      </c>
      <c r="AJ4" s="307" t="s">
        <v>67</v>
      </c>
      <c r="AK4" s="307" t="s">
        <v>66</v>
      </c>
      <c r="AL4" s="307" t="s">
        <v>65</v>
      </c>
      <c r="AM4" s="307" t="s">
        <v>64</v>
      </c>
      <c r="AN4" s="307" t="s">
        <v>63</v>
      </c>
      <c r="AO4" s="436"/>
      <c r="BA4" s="127"/>
      <c r="BB4" s="127"/>
      <c r="BC4" s="127"/>
      <c r="BD4" s="127"/>
      <c r="BE4" s="127"/>
      <c r="BF4" s="127"/>
      <c r="BG4" s="127"/>
      <c r="BH4" s="127"/>
      <c r="BI4" s="127"/>
      <c r="BJ4" s="431"/>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7" t="s">
        <v>214</v>
      </c>
      <c r="B1" s="437"/>
      <c r="C1" s="437"/>
      <c r="D1" s="437"/>
      <c r="E1" s="437"/>
      <c r="F1" s="437"/>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8" t="s">
        <v>213</v>
      </c>
      <c r="Q2" s="141" t="s">
        <v>212</v>
      </c>
      <c r="R2" s="141" t="s">
        <v>212</v>
      </c>
      <c r="S2" s="141" t="s">
        <v>212</v>
      </c>
      <c r="T2" s="438"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8"/>
      <c r="Q3" s="141" t="s">
        <v>192</v>
      </c>
      <c r="R3" s="141" t="s">
        <v>128</v>
      </c>
      <c r="S3" s="141" t="s">
        <v>122</v>
      </c>
      <c r="T3" s="438"/>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8"/>
      <c r="Q4" s="141" t="s">
        <v>173</v>
      </c>
      <c r="R4" s="141" t="s">
        <v>78</v>
      </c>
      <c r="S4" s="141" t="s">
        <v>72</v>
      </c>
      <c r="T4" s="438"/>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9" t="s">
        <v>170</v>
      </c>
      <c r="C1" s="439"/>
      <c r="D1" s="439"/>
      <c r="E1" s="439"/>
      <c r="F1" s="439"/>
      <c r="G1" s="439"/>
      <c r="H1" s="439"/>
      <c r="I1" s="439"/>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40"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40" t="s">
        <v>166</v>
      </c>
    </row>
    <row r="3" spans="1:23" ht="56" x14ac:dyDescent="0.2">
      <c r="A3" s="285"/>
      <c r="B3" s="285"/>
      <c r="C3" s="285"/>
      <c r="D3" s="285"/>
      <c r="E3" s="285"/>
      <c r="F3" s="285"/>
      <c r="G3" s="286" t="s">
        <v>158</v>
      </c>
      <c r="H3" s="440"/>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40"/>
    </row>
    <row r="4" spans="1:23" ht="98" x14ac:dyDescent="0.2">
      <c r="A4" s="287"/>
      <c r="B4" s="288" t="s">
        <v>112</v>
      </c>
      <c r="C4" s="288" t="s">
        <v>111</v>
      </c>
      <c r="D4" s="288" t="s">
        <v>32</v>
      </c>
      <c r="E4" s="288" t="s">
        <v>110</v>
      </c>
      <c r="F4" s="288" t="s">
        <v>109</v>
      </c>
      <c r="G4" s="286" t="s">
        <v>108</v>
      </c>
      <c r="H4" s="440"/>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40"/>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657</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658</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659</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2" t="s">
        <v>214</v>
      </c>
      <c r="B1" s="442"/>
      <c r="C1" s="442"/>
      <c r="D1" s="442"/>
      <c r="E1" s="442"/>
      <c r="F1" s="442"/>
      <c r="G1" s="442"/>
      <c r="H1" s="442"/>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1" t="s">
        <v>168</v>
      </c>
      <c r="I2" s="165" t="s">
        <v>167</v>
      </c>
      <c r="J2" s="165" t="s">
        <v>167</v>
      </c>
      <c r="K2" s="165" t="s">
        <v>167</v>
      </c>
      <c r="L2" s="165" t="s">
        <v>167</v>
      </c>
      <c r="M2" s="165" t="s">
        <v>167</v>
      </c>
      <c r="N2" s="165" t="s">
        <v>167</v>
      </c>
      <c r="O2" s="165" t="s">
        <v>167</v>
      </c>
      <c r="P2" s="165" t="s">
        <v>167</v>
      </c>
      <c r="Q2" s="165" t="s">
        <v>167</v>
      </c>
      <c r="R2" s="165" t="s">
        <v>167</v>
      </c>
      <c r="S2" s="441" t="s">
        <v>166</v>
      </c>
    </row>
    <row r="3" spans="1:21" ht="56" x14ac:dyDescent="0.2">
      <c r="A3" s="325"/>
      <c r="B3" s="325"/>
      <c r="C3" s="325"/>
      <c r="D3" s="325"/>
      <c r="E3" s="325"/>
      <c r="F3" s="325"/>
      <c r="G3" s="165" t="s">
        <v>158</v>
      </c>
      <c r="H3" s="441"/>
      <c r="I3" s="165" t="s">
        <v>210</v>
      </c>
      <c r="J3" s="165" t="s">
        <v>209</v>
      </c>
      <c r="K3" s="165" t="s">
        <v>208</v>
      </c>
      <c r="L3" s="165" t="s">
        <v>207</v>
      </c>
      <c r="M3" s="165" t="s">
        <v>206</v>
      </c>
      <c r="N3" s="165" t="s">
        <v>205</v>
      </c>
      <c r="O3" s="165" t="s">
        <v>204</v>
      </c>
      <c r="P3" s="165" t="s">
        <v>203</v>
      </c>
      <c r="Q3" s="165" t="s">
        <v>202</v>
      </c>
      <c r="R3" s="165" t="s">
        <v>145</v>
      </c>
      <c r="S3" s="441"/>
    </row>
    <row r="4" spans="1:21" ht="112" x14ac:dyDescent="0.2">
      <c r="A4" s="325"/>
      <c r="B4" s="327" t="s">
        <v>112</v>
      </c>
      <c r="C4" s="327" t="s">
        <v>111</v>
      </c>
      <c r="D4" s="327" t="s">
        <v>32</v>
      </c>
      <c r="E4" s="327" t="s">
        <v>110</v>
      </c>
      <c r="F4" s="327" t="s">
        <v>109</v>
      </c>
      <c r="G4" s="165" t="s">
        <v>108</v>
      </c>
      <c r="H4" s="441"/>
      <c r="I4" s="165" t="s">
        <v>191</v>
      </c>
      <c r="J4" s="165" t="s">
        <v>190</v>
      </c>
      <c r="K4" s="165" t="s">
        <v>189</v>
      </c>
      <c r="L4" s="165" t="s">
        <v>188</v>
      </c>
      <c r="M4" s="165" t="s">
        <v>187</v>
      </c>
      <c r="N4" s="165" t="s">
        <v>186</v>
      </c>
      <c r="O4" s="165" t="s">
        <v>185</v>
      </c>
      <c r="P4" s="165" t="s">
        <v>184</v>
      </c>
      <c r="Q4" s="165" t="s">
        <v>183</v>
      </c>
      <c r="R4" s="165" t="s">
        <v>94</v>
      </c>
      <c r="S4" s="441"/>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3" t="s">
        <v>166</v>
      </c>
      <c r="M2" s="140" t="s">
        <v>38</v>
      </c>
      <c r="N2" s="444" t="s">
        <v>165</v>
      </c>
    </row>
    <row r="3" spans="1:14" ht="37" customHeight="1" x14ac:dyDescent="0.2">
      <c r="A3" s="148"/>
      <c r="B3" s="149"/>
      <c r="C3" s="149"/>
      <c r="D3" s="149"/>
      <c r="E3" s="346"/>
      <c r="F3" s="347"/>
      <c r="G3" s="347"/>
      <c r="H3" s="347"/>
      <c r="I3" s="347"/>
      <c r="J3" s="347"/>
      <c r="K3" s="141" t="s">
        <v>145</v>
      </c>
      <c r="L3" s="443"/>
      <c r="M3" s="140" t="s">
        <v>142</v>
      </c>
      <c r="N3" s="444"/>
    </row>
    <row r="4" spans="1:14" ht="37" customHeight="1" x14ac:dyDescent="0.2">
      <c r="A4" s="150"/>
      <c r="B4" s="151"/>
      <c r="C4" s="151"/>
      <c r="D4" s="151"/>
      <c r="E4" s="348"/>
      <c r="F4" s="349" t="s">
        <v>112</v>
      </c>
      <c r="G4" s="349" t="s">
        <v>111</v>
      </c>
      <c r="H4" s="349" t="s">
        <v>32</v>
      </c>
      <c r="I4" s="349" t="s">
        <v>110</v>
      </c>
      <c r="J4" s="349" t="s">
        <v>109</v>
      </c>
      <c r="K4" s="141" t="s">
        <v>94</v>
      </c>
      <c r="L4" s="443"/>
      <c r="M4" s="140" t="s">
        <v>93</v>
      </c>
      <c r="N4" s="444"/>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F6"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396" t="s">
        <v>285</v>
      </c>
      <c r="C1" s="396"/>
      <c r="D1" s="396"/>
      <c r="E1" s="396"/>
      <c r="F1" s="359"/>
      <c r="G1" s="358"/>
      <c r="H1" s="358"/>
      <c r="I1" s="358"/>
      <c r="J1" s="358"/>
      <c r="K1" s="358"/>
      <c r="L1" s="358"/>
      <c r="M1" s="358"/>
      <c r="N1" s="358"/>
      <c r="O1" s="358"/>
      <c r="P1" s="358"/>
      <c r="Q1" s="358"/>
      <c r="R1" s="358"/>
      <c r="S1" s="358"/>
    </row>
    <row r="2" spans="1:19" x14ac:dyDescent="0.2">
      <c r="A2" s="360"/>
      <c r="B2" s="361"/>
      <c r="C2" s="361"/>
      <c r="D2" s="361"/>
      <c r="E2" s="361"/>
      <c r="F2" s="362"/>
      <c r="G2" s="363" t="s">
        <v>662</v>
      </c>
      <c r="H2" s="363" t="s">
        <v>662</v>
      </c>
      <c r="I2" s="363" t="s">
        <v>662</v>
      </c>
      <c r="J2" s="363" t="s">
        <v>662</v>
      </c>
      <c r="K2" s="363" t="s">
        <v>662</v>
      </c>
      <c r="L2" s="363" t="s">
        <v>662</v>
      </c>
      <c r="M2" s="363" t="s">
        <v>662</v>
      </c>
      <c r="N2" s="363" t="s">
        <v>662</v>
      </c>
      <c r="O2" s="363" t="s">
        <v>662</v>
      </c>
      <c r="P2" s="363" t="s">
        <v>662</v>
      </c>
      <c r="Q2" s="363" t="s">
        <v>662</v>
      </c>
      <c r="R2" s="363" t="s">
        <v>662</v>
      </c>
      <c r="S2" s="397" t="s">
        <v>271</v>
      </c>
    </row>
    <row r="3" spans="1:19" s="395" customFormat="1" x14ac:dyDescent="0.2">
      <c r="A3" s="391"/>
      <c r="B3" s="392"/>
      <c r="C3" s="392"/>
      <c r="D3" s="392"/>
      <c r="E3" s="392"/>
      <c r="F3" s="393"/>
      <c r="G3" s="394" t="s">
        <v>273</v>
      </c>
      <c r="H3" s="394" t="s">
        <v>663</v>
      </c>
      <c r="I3" s="394"/>
      <c r="J3" s="394"/>
      <c r="K3" s="394" t="s">
        <v>144</v>
      </c>
      <c r="L3" s="394"/>
      <c r="M3" s="394"/>
      <c r="N3" s="394" t="s">
        <v>274</v>
      </c>
      <c r="O3" s="394" t="s">
        <v>275</v>
      </c>
      <c r="P3" s="394" t="s">
        <v>276</v>
      </c>
      <c r="Q3" s="394" t="s">
        <v>277</v>
      </c>
      <c r="R3" s="394" t="s">
        <v>278</v>
      </c>
      <c r="S3" s="397"/>
    </row>
    <row r="4" spans="1:19" ht="42" x14ac:dyDescent="0.2">
      <c r="A4" s="364"/>
      <c r="B4" s="365" t="s">
        <v>112</v>
      </c>
      <c r="C4" s="365" t="s">
        <v>111</v>
      </c>
      <c r="D4" s="365" t="s">
        <v>32</v>
      </c>
      <c r="E4" s="365" t="s">
        <v>279</v>
      </c>
      <c r="F4" s="365" t="s">
        <v>109</v>
      </c>
      <c r="G4" s="366" t="s">
        <v>280</v>
      </c>
      <c r="H4" s="366" t="s">
        <v>281</v>
      </c>
      <c r="I4" s="366" t="s">
        <v>650</v>
      </c>
      <c r="J4" s="366" t="s">
        <v>673</v>
      </c>
      <c r="K4" s="366" t="s">
        <v>672</v>
      </c>
      <c r="L4" s="366" t="s">
        <v>660</v>
      </c>
      <c r="M4" s="366" t="s">
        <v>687</v>
      </c>
      <c r="N4" s="366" t="s">
        <v>282</v>
      </c>
      <c r="O4" s="366" t="s">
        <v>688</v>
      </c>
      <c r="P4" s="366" t="s">
        <v>689</v>
      </c>
      <c r="Q4" s="366" t="s">
        <v>690</v>
      </c>
      <c r="R4" s="366" t="s">
        <v>691</v>
      </c>
      <c r="S4" s="397"/>
    </row>
    <row r="5" spans="1:19" ht="332" x14ac:dyDescent="0.2">
      <c r="A5" s="367" t="s">
        <v>283</v>
      </c>
      <c r="B5" s="368"/>
      <c r="C5" s="368"/>
      <c r="D5" s="368"/>
      <c r="E5" s="368" t="s">
        <v>62</v>
      </c>
      <c r="F5" s="369" t="s">
        <v>61</v>
      </c>
      <c r="G5" s="370" t="s">
        <v>286</v>
      </c>
      <c r="H5" s="389" t="s">
        <v>664</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665</v>
      </c>
      <c r="I6" s="389" t="s">
        <v>692</v>
      </c>
      <c r="J6" s="389" t="s">
        <v>674</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666</v>
      </c>
      <c r="I7" s="389" t="s">
        <v>675</v>
      </c>
      <c r="J7" s="389" t="s">
        <v>676</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667</v>
      </c>
      <c r="I8" s="389" t="s">
        <v>677</v>
      </c>
      <c r="J8" s="389" t="s">
        <v>678</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668</v>
      </c>
      <c r="I9" s="389" t="s">
        <v>679</v>
      </c>
      <c r="J9" s="389" t="s">
        <v>680</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669</v>
      </c>
      <c r="I10" s="389" t="s">
        <v>681</v>
      </c>
      <c r="J10" s="389" t="s">
        <v>682</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670</v>
      </c>
      <c r="I11" s="389" t="s">
        <v>683</v>
      </c>
      <c r="J11" s="389" t="s">
        <v>684</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671</v>
      </c>
      <c r="I12" s="389" t="s">
        <v>685</v>
      </c>
      <c r="J12" s="389" t="s">
        <v>686</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ETPT_JUR_ASS</vt:lpstr>
      <vt:lpstr>ETPT_TJ_DDG</vt:lpstr>
      <vt:lpstr>ETPT_TPRX_DDG</vt:lpstr>
      <vt:lpstr>ETPT_CPH_DDG</vt:lpstr>
      <vt:lpstr>ETPT_JUR_ASS_DDG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2026-02-17T14:19:07Z</dcterms:modified>
  <cp:category/>
</cp:coreProperties>
</file>