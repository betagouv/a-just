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hidePivotFieldList="1" defaultThemeVersion="166925"/>
  <mc:AlternateContent xmlns:mc="http://schemas.openxmlformats.org/markup-compatibility/2006">
    <mc:Choice Requires="x15">
      <x15ac:absPath xmlns:x15ac="http://schemas.microsoft.com/office/spreadsheetml/2010/11/ac" url="/Users/francois-xaviermontigny/git/beta.gouv.fr/a-just/front/src/assets/"/>
    </mc:Choice>
  </mc:AlternateContent>
  <xr:revisionPtr revIDLastSave="0" documentId="13_ncr:1_{DCBBCD03-A1DE-F448-8792-D2BCF0DEFF3F}" xr6:coauthVersionLast="47" xr6:coauthVersionMax="47" xr10:uidLastSave="{00000000-0000-0000-0000-000000000000}"/>
  <bookViews>
    <workbookView xWindow="2880" yWindow="780" windowWidth="30240" windowHeight="1718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 i="25" l="1"/>
  <c r="V14" i="25"/>
  <c r="R5" i="28"/>
  <c r="K7" i="39"/>
  <c r="K8" i="39"/>
  <c r="K9" i="39"/>
  <c r="K10" i="39"/>
  <c r="K11" i="39"/>
  <c r="K12" i="39"/>
  <c r="J7" i="39"/>
  <c r="J8" i="39"/>
  <c r="J9" i="39"/>
  <c r="J10" i="39"/>
  <c r="J11" i="39"/>
  <c r="J12" i="39"/>
  <c r="AT6" i="28"/>
  <c r="AT7" i="28"/>
  <c r="AT8" i="28"/>
  <c r="AT9" i="28"/>
  <c r="AT10" i="28"/>
  <c r="AT16" i="28" s="1"/>
  <c r="AT11" i="28"/>
  <c r="AT12" i="28"/>
  <c r="AT13" i="28"/>
  <c r="AT14" i="28"/>
  <c r="AT15" i="28"/>
  <c r="R11" i="38"/>
  <c r="Q11" i="38"/>
  <c r="P11" i="38"/>
  <c r="O11" i="38"/>
  <c r="L11" i="38"/>
  <c r="K11" i="38"/>
  <c r="J11" i="38"/>
  <c r="I11" i="38"/>
  <c r="I6" i="38" a="1"/>
  <c r="I6" i="38" s="1"/>
  <c r="H11" i="38" a="1"/>
  <c r="H11" i="38" s="1"/>
  <c r="G11" i="38" a="1"/>
  <c r="G11" i="38" s="1"/>
  <c r="AU14" i="25"/>
  <c r="AU12" i="25"/>
  <c r="AU6" i="25"/>
  <c r="AU5" i="25"/>
  <c r="AS6" i="25"/>
  <c r="AS5" i="25"/>
  <c r="AQ15" i="25"/>
  <c r="AQ14" i="25"/>
  <c r="AF12" i="25" a="1"/>
  <c r="AF12" i="25" s="1"/>
  <c r="AE12" i="25" a="1"/>
  <c r="AE12" i="25" s="1"/>
  <c r="AD12" i="25" a="1"/>
  <c r="AD12" i="25" s="1"/>
  <c r="Z12" i="25" a="1"/>
  <c r="Z12" i="25" s="1"/>
  <c r="Y15" i="25"/>
  <c r="V12" i="25"/>
  <c r="V6" i="25"/>
  <c r="G12" i="25"/>
  <c r="I5" i="38" a="1"/>
  <c r="I5" i="38" s="1"/>
  <c r="G5" i="38" a="1"/>
  <c r="G5" i="38" s="1"/>
  <c r="R6" i="38" a="1"/>
  <c r="R6" i="38" s="1"/>
  <c r="Q6" i="38" a="1"/>
  <c r="Q6" i="38" s="1"/>
  <c r="P6" i="38" a="1"/>
  <c r="P6" i="38" s="1"/>
  <c r="O6" i="38" a="1"/>
  <c r="O6" i="38" s="1"/>
  <c r="L6" i="38" a="1"/>
  <c r="L6" i="38" s="1"/>
  <c r="K6" i="38" a="1"/>
  <c r="K6" i="38" s="1"/>
  <c r="K6" i="39" s="1"/>
  <c r="J6" i="38" a="1"/>
  <c r="J6" i="38" s="1"/>
  <c r="P5" i="38" a="1"/>
  <c r="P5" i="38" s="1"/>
  <c r="L5" i="38" a="1"/>
  <c r="L5" i="38" s="1"/>
  <c r="M13" i="39"/>
  <c r="N13" i="39"/>
  <c r="AT15" i="25"/>
  <c r="AF15" i="25"/>
  <c r="AT14" i="25"/>
  <c r="AF14" i="25"/>
  <c r="L6" i="25"/>
  <c r="K12" i="38"/>
  <c r="K10" i="38"/>
  <c r="K9" i="38"/>
  <c r="K8" i="38"/>
  <c r="K7" i="38"/>
  <c r="J12" i="38"/>
  <c r="J10" i="38"/>
  <c r="J9" i="38"/>
  <c r="J8" i="38"/>
  <c r="J7" i="38"/>
  <c r="R12" i="38"/>
  <c r="R10" i="38"/>
  <c r="R9" i="38"/>
  <c r="R8" i="38"/>
  <c r="R7" i="38"/>
  <c r="M13" i="38"/>
  <c r="N13" i="38"/>
  <c r="R15" i="25"/>
  <c r="AT5" i="28"/>
  <c r="AT5" i="25" a="1"/>
  <c r="AT5" i="25" s="1"/>
  <c r="AT16" i="25" s="1"/>
  <c r="V5" i="25"/>
  <c r="R14" i="25"/>
  <c r="R5" i="25"/>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G15" i="25" l="1"/>
  <c r="G13" i="27"/>
  <c r="G12" i="27"/>
  <c r="G20" i="25" a="1"/>
  <c r="G20" i="25" s="1"/>
  <c r="AU15" i="25"/>
  <c r="Y6" i="28"/>
  <c r="Y7" i="28"/>
  <c r="Y8" i="28"/>
  <c r="Y9" i="28"/>
  <c r="Y10" i="28"/>
  <c r="Y11" i="28"/>
  <c r="Y12" i="28"/>
  <c r="Y13" i="28"/>
  <c r="Y14" i="28"/>
  <c r="Y15" i="28"/>
  <c r="AR15" i="25"/>
  <c r="AP15" i="25"/>
  <c r="AO15" i="25"/>
  <c r="AN15" i="25"/>
  <c r="AM15" i="25"/>
  <c r="AL15" i="25"/>
  <c r="AK15" i="25"/>
  <c r="AJ15" i="25"/>
  <c r="AI15" i="25"/>
  <c r="AH15" i="25"/>
  <c r="AE15" i="25"/>
  <c r="AD15" i="25"/>
  <c r="AC15" i="25"/>
  <c r="AB15" i="25"/>
  <c r="AA15" i="25"/>
  <c r="Z15" i="25"/>
  <c r="X15" i="25"/>
  <c r="U15" i="25"/>
  <c r="T15" i="25"/>
  <c r="S15" i="25"/>
  <c r="Q15" i="25"/>
  <c r="P15" i="25"/>
  <c r="O15" i="25"/>
  <c r="AR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V12" i="25"/>
  <c r="Y12" i="25" a="1"/>
  <c r="Y12" i="25" s="1"/>
  <c r="W12" i="25"/>
  <c r="H12" i="25"/>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G9" i="25" l="1"/>
  <c r="AS16" i="25"/>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9"/>
  <c r="H8" i="38" a="1"/>
  <c r="H8" i="38" s="1"/>
  <c r="H8" i="39" s="1"/>
  <c r="G11" i="39"/>
  <c r="H7" i="38" a="1"/>
  <c r="H7" i="38" s="1"/>
  <c r="H7" i="39" s="1"/>
  <c r="H9" i="38" a="1"/>
  <c r="H9" i="38" s="1"/>
  <c r="H9" i="39" s="1"/>
  <c r="G9" i="38" a="1"/>
  <c r="G9" i="38" s="1"/>
  <c r="G9" i="39" s="1"/>
  <c r="I10" i="38"/>
  <c r="I10" i="39" s="1"/>
  <c r="P6" i="39"/>
  <c r="R6" i="39"/>
  <c r="I5" i="39"/>
  <c r="P5" i="39"/>
  <c r="I11" i="39"/>
  <c r="O6" i="39"/>
  <c r="Q6" i="39"/>
  <c r="G7" i="38" a="1"/>
  <c r="G7" i="38" s="1"/>
  <c r="G7" i="39" s="1"/>
  <c r="G8" i="38" a="1"/>
  <c r="G8" i="38" s="1"/>
  <c r="G8" i="39" s="1"/>
  <c r="G6" i="38" a="1"/>
  <c r="G6" i="38" s="1"/>
  <c r="I7" i="38"/>
  <c r="I7" i="39" s="1"/>
  <c r="L9" i="38"/>
  <c r="L9" i="39" s="1"/>
  <c r="O10" i="38"/>
  <c r="O10" i="39" s="1"/>
  <c r="R7" i="39"/>
  <c r="I8" i="38"/>
  <c r="I8" i="39" s="1"/>
  <c r="L10" i="38"/>
  <c r="L10" i="39" s="1"/>
  <c r="O11" i="39"/>
  <c r="R8" i="39"/>
  <c r="I9" i="38"/>
  <c r="I9" i="39" s="1"/>
  <c r="L11" i="39"/>
  <c r="P7" i="38"/>
  <c r="P7" i="39" s="1"/>
  <c r="R9" i="39"/>
  <c r="H5" i="39"/>
  <c r="P8" i="38"/>
  <c r="P8" i="39" s="1"/>
  <c r="R10" i="39"/>
  <c r="P9" i="38"/>
  <c r="P9" i="39" s="1"/>
  <c r="R11" i="39"/>
  <c r="P10" i="38"/>
  <c r="P10" i="39" s="1"/>
  <c r="P11" i="39"/>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9"/>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<sst xmlns="http://schemas.openxmlformats.org/spreadsheetml/2006/main" count="1840" uniqueCount="693">
  <si>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</si>
  <si>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</si>
  <si>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</si>
  <si>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</si>
  <si>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</si>
  <si>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</si>
  <si>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</si>
  <si>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</si>
  <si>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</si>
  <si>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</si>
  <si>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</si>
  <si>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</si>
  <si>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</si>
  <si>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</si>
  <si>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</si>
  <si>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</si>
  <si>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</si>
  <si>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</si>
  <si>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</si>
  <si>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</si>
  <si>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</si>
  <si>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</si>
  <si>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</si>
  <si>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</si>
  <si>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</si>
  <si>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</si>
  <si>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</si>
  <si>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</si>
  <si>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</si>
  <si>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</si>
  <si>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</si>
  <si>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</si>
  <si>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</si>
  <si>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</si>
  <si>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</si>
  <si>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</si>
  <si>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</si>
  <si>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</si>
  <si>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</si>
  <si>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</si>
  <si>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</si>
  <si>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</si>
  <si>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</si>
  <si>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</si>
  <si>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</si>
  <si>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</si>
  <si>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</si>
  <si>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</si>
  <si>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</si>
  <si>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</si>
  <si>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</si>
  <si>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</si>
  <si>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</si>
  <si>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</si>
  <si>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</si>
  <si>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</si>
  <si>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</si>
  <si>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</si>
  <si>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</si>
  <si>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</si>
  <si>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</si>
  <si>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</si>
  <si>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</si>
  <si>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</si>
  <si>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</si>
  <si>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</si>
  <si>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</si>
  <si>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</si>
  <si>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</si>
  <si>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</si>
  <si>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</si>
  <si>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</si>
  <si>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</si>
  <si>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</si>
  <si>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</si>
  <si>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</si>
  <si>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</si>
  <si>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</si>
  <si>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</si>
  <si>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</si>
  <si>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</si>
  <si>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</si>
  <si>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</si>
  <si>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</si>
  <si>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</si>
  <si>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</si>
  <si>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</si>
  <si>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</si>
  <si>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</si>
  <si>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</si>
  <si>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</si>
  <si>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</si>
  <si>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</si>
  <si>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</si>
  <si>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</si>
  <si>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</si>
  <si>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</si>
  <si>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</si>
  <si>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</si>
  <si>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</si>
  <si>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</si>
  <si>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</si>
  <si>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</si>
  <si>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</si>
  <si>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</si>
  <si>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</si>
  <si>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</si>
  <si>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</si>
  <si>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</si>
  <si>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</si>
  <si>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</si>
  <si>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</si>
  <si>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</si>
  <si>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</si>
  <si>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</si>
  <si>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</si>
  <si>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</si>
  <si>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</si>
  <si>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</si>
  <si>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</si>
  <si>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</si>
  <si>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</si>
  <si>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</si>
  <si>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</si>
  <si>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</si>
  <si>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</si>
  <si>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</si>
  <si>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</si>
  <si>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</si>
  <si>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</si>
  <si>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</si>
  <si>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</si>
  <si>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</si>
  <si>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</si>
  <si>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</si>
  <si>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</si>
  <si>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</si>
  <si>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</si>
  <si>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</si>
  <si>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</si>
  <si>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</si>
  <si>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</si>
  <si>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</si>
  <si>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</si>
  <si>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</si>
  <si>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</si>
  <si>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</si>
  <si>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</si>
  <si>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</si>
  <si>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</si>
  <si>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</si>
  <si>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</si>
  <si>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</si>
  <si>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</si>
  <si>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</si>
  <si>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</si>
  <si>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</si>
  <si>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</si>
  <si>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</si>
  <si>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</si>
  <si>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</si>
  <si>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</si>
  <si>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</si>
  <si>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</si>
  <si>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</si>
  <si>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</si>
  <si>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</si>
  <si>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</si>
  <si>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</si>
  <si>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</si>
  <si>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</si>
  <si>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</si>
  <si>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</si>
  <si>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</si>
  <si>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</si>
  <si>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</si>
  <si>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</si>
  <si>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</si>
  <si>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</si>
  <si>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</si>
  <si>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</si>
  <si>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</si>
  <si>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</si>
  <si>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</si>
  <si>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</si>
  <si>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</si>
  <si>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</si>
  <si>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</si>
  <si>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</si>
  <si>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</si>
  <si>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</si>
  <si>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</si>
  <si>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</si>
  <si>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</si>
  <si>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</si>
  <si>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</si>
  <si>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</si>
  <si>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</si>
  <si>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</si>
  <si>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</si>
  <si>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</si>
  <si>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</si>
  <si>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</si>
  <si>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</si>
  <si>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</si>
  <si>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</si>
  <si>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</si>
  <si>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</si>
  <si>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</si>
  <si>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</si>
  <si>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</si>
  <si>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</si>
  <si>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</si>
  <si>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</si>
  <si>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</si>
  <si>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</si>
  <si>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</si>
  <si>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</si>
  <si>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</si>
  <si>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</si>
  <si>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</si>
  <si>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</si>
  <si>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</si>
  <si>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</si>
  <si>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</si>
  <si>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</si>
  <si>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</si>
  <si>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</si>
  <si>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</si>
  <si>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</si>
  <si>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</si>
  <si>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</si>
  <si>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</si>
  <si>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</si>
  <si>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</si>
  <si>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</si>
  <si>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</si>
  <si>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</si>
  <si>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</si>
  <si>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</si>
  <si>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</si>
  <si>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</si>
  <si>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</si>
  <si>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</si>
  <si>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</si>
  <si>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</si>
  <si>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</si>
  <si>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</si>
  <si>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</si>
  <si>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</si>
  <si>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</si>
  <si>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</si>
  <si>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</si>
  <si>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</si>
  <si>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</si>
  <si>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</si>
  <si>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</si>
  <si>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</si>
  <si>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</si>
  <si>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</si>
  <si>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</si>
  <si>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</si>
  <si>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</si>
  <si>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</si>
  <si>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</si>
  <si>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</si>
  <si>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</si>
  <si>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</si>
  <si>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</si>
  <si>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</si>
  <si>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</si>
  <si>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</si>
  <si>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</si>
  <si>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</si>
  <si>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</si>
  <si>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</si>
  <si>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</si>
  <si>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</si>
  <si>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</si>
  <si>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</si>
  <si>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</si>
  <si>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</si>
  <si>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</si>
  <si>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</si>
  <si>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</si>
  <si>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</si>
  <si>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</si>
  <si>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</si>
  <si>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</si>
  <si>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</si>
  <si>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</si>
  <si>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</si>
  <si>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</si>
  <si>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</si>
  <si>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</si>
  <si>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</si>
  <si>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</si>
  <si>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</si>
  <si>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</si>
  <si>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</si>
  <si>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</si>
  <si>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</si>
  <si>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</si>
  <si>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</si>
  <si>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</si>
  <si>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</si>
  <si>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</si>
  <si>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</si>
  <si>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</si>
  <si>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</si>
  <si>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</si>
  <si>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</si>
  <si>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</si>
  <si>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</si>
  <si>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</si>
  <si>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</si>
  <si>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</si>
  <si>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</si>
  <si>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</si>
  <si>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</si>
  <si>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</si>
  <si>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</si>
  <si>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</si>
  <si>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</si>
  <si>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</si>
  <si>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</si>
  <si>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</si>
  <si>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</si>
  <si>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</si>
  <si>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</si>
  <si>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</si>
  <si>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</si>
  <si>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</si>
  <si>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</si>
  <si>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</si>
  <si>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</si>
  <si>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</si>
  <si>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</si>
  <si>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</si>
  <si>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</si>
  <si>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</si>
  <si>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</si>
  <si>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</si>
  <si>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</si>
  <si>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</si>
  <si>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</si>
  <si>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</si>
  <si>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</si>
  <si>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</si>
  <si>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</si>
  <si>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</si>
  <si>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</si>
  <si>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</si>
  <si>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</si>
  <si>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</si>
  <si>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</si>
  <si>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</si>
  <si>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</si>
  <si>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</si>
  <si>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</si>
  <si>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</si>
  <si>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</si>
  <si>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</si>
  <si>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</si>
  <si>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</si>
  <si>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</si>
  <si>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</si>
  <si>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</si>
  <si>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</si>
  <si>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</si>
  <si>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</si>
  <si>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</si>
  <si>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</si>
  <si>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</si>
  <si>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</si>
  <si>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</si>
  <si>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</si>
  <si>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</si>
  <si>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</si>
  <si>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</si>
  <si>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</si>
  <si>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</si>
  <si>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</si>
  <si>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</si>
  <si>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</si>
  <si>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</si>
  <si>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</si>
  <si>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</si>
  <si>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</si>
  <si>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</si>
  <si>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</si>
  <si>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</si>
  <si>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</si>
  <si>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</si>
  <si>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</si>
  <si>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</si>
  <si>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</si>
  <si>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</si>
  <si>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</si>
  <si>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</si>
  <si>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</si>
  <si>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</si>
  <si>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</si>
  <si>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</si>
  <si>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</si>
  <si>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</si>
  <si>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</si>
  <si>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</si>
  <si>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</si>
  <si>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</si>
  <si>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</si>
  <si>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</si>
  <si>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</si>
  <si>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</si>
  <si>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</si>
  <si>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</si>
  <si>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</si>
  <si>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</si>
  <si>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</si>
  <si>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</si>
  <si>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</si>
  <si>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</si>
  <si>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</si>
  <si>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</si>
  <si>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</si>
  <si>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</si>
  <si>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</si>
  <si>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</si>
  <si>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</si>
  <si>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</si>
  <si>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</si>
  <si>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</si>
  <si>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</si>
  <si>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</si>
  <si>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</si>
  <si>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</si>
  <si>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</si>
  <si>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</si>
  <si>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</si>
  <si>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</si>
  <si>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</si>
  <si>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</si>
  <si>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</si>
  <si>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</si>
  <si>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</si>
  <si>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</si>
  <si>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</si>
  <si>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</si>
  <si>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</si>
  <si>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</si>
  <si>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</si>
  <si>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</si>
  <si>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</si>
  <si>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</si>
  <si>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</si>
  <si>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</si>
  <si>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</si>
  <si>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</si>
  <si>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</si>
  <si>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</si>
  <si>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</si>
  <si>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</si>
  <si>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</si>
  <si>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</si>
  <si>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</si>
  <si>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</si>
  <si>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</si>
  <si>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</si>
  <si>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</si>
  <si>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</si>
  <si>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</si>
  <si>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</si>
  <si>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</si>
  <si>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</si>
  <si>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</si>
  <si>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</si>
  <si>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</si>
  <si>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</si>
  <si>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</si>
  <si>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</si>
  <si>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</si>
  <si>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</si>
  <si>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</si>
  <si>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</si>
  <si>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</si>
  <si>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</si>
  <si>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</si>
  <si>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</si>
  <si>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</si>
  <si>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</si>
  <si>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</si>
  <si>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</si>
  <si>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</si>
  <si>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</si>
  <si>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</si>
  <si>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</si>
  <si>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</si>
  <si>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</si>
  <si>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</si>
  <si>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</si>
  <si>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</si>
  <si>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</si>
  <si>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</si>
  <si>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</si>
  <si>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</si>
  <si>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</si>
  <si>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</si>
  <si>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</si>
  <si>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</si>
  <si>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</si>
  <si>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</si>
  <si>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</si>
  <si>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</si>
  <si>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</si>
  <si>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</si>
  <si>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</si>
  <si>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</si>
  <si>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</si>
  <si>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</si>
  <si>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</si>
  <si>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</si>
  <si>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</si>
  <si>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</si>
  <si>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</si>
  <si>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</si>
  <si>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</si>
  <si>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</si>
  <si>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</si>
  <si>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</si>
  <si>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</si>
  <si>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</si>
  <si>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</si>
  <si>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</si>
  <si>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</si>
  <si>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</si>
  <si>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</si>
  <si>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</si>
  <si>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</si>
  <si>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</si>
  <si>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</si>
  <si>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</si>
  <si>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</si>
  <si>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</si>
  <si>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</si>
  <si>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</si>
  <si>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</si>
  <si>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</si>
  <si>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</si>
  <si>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</si>
  <si>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</si>
  <si>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</si>
  <si>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</si>
  <si>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</si>
  <si>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</si>
  <si>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</si>
  <si>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</si>
  <si>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</si>
  <si>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</si>
  <si>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</si>
  <si>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</si>
  <si>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</si>
  <si>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</si>
  <si>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</si>
  <si>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</si>
  <si>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</si>
  <si>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</si>
  <si>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</si>
  <si>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</si>
  <si>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</si>
  <si>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</si>
  <si>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</si>
  <si>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</si>
  <si>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</si>
  <si>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</si>
  <si>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</si>
  <si>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</si>
  <si>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</si>
  <si>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</si>
  <si>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</si>
  <si>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</si>
  <si>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</si>
  <si>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</si>
  <si>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</si>
  <si>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</si>
  <si>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</si>
  <si>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</si>
  <si>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</si>
  <si>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</si>
  <si>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</si>
  <si>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</si>
  <si>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</si>
  <si>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</si>
  <si>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</si>
  <si>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</si>
  <si>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</si>
  <si>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</si>
  <si>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</si>
  <si>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</si>
  <si>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</si>
  <si>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</si>
  <si>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</si>
  <si>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</si>
  <si>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</si>
  <si>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</si>
  <si>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</si>
  <si>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</si>
  <si>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</si>
  <si>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</si>
  <si>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</si>
  <si>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</si>
  <si>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</si>
  <si>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</si>
  <si>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</si>
  <si>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</si>
  <si>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</si>
  <si>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</si>
  <si>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</si>
  <si>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</si>
  <si>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</si>
  <si>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</si>
  <si>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</si>
  <si>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</si>
  <si>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</si>
  <si>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</si>
  <si>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</si>
  <si>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</si>
  <si>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</si>
  <si>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</si>
  <si>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</si>
  <si>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</si>
  <si>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</si>
  <si>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</si>
  <si>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</si>
  <si>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</si>
  <si>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</si>
  <si>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</si>
  <si>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</si>
  <si>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</si>
  <si>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</si>
  <si>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</si>
  <si>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</si>
  <si>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</si>
  <si>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</si>
  <si>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</si>
  <si>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</si>
  <si>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</si>
  <si>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</si>
  <si>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</si>
  <si>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</si>
  <si>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</si>
  <si>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</si>
  <si>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</si>
  <si>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</si>
  <si>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</si>
  <si>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</si>
  <si>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</si>
  <si>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</si>
  <si>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</si>
  <si>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</si>
  <si>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</si>
  <si>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</si>
  <si>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</si>
  <si>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</si>
  <si>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</si>
  <si>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</si>
  <si>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</si>
  <si>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</si>
  <si>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</si>
  <si>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</si>
  <si>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</si>
  <si>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</si>
  <si>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</si>
  <si>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</si>
  <si>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</si>
  <si>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</si>
  <si>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</si>
  <si>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</si>
  <si>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</si>
  <si>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</si>
  <si>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</si>
  <si>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</si>
  <si>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</si>
  <si>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</si>
  <si>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</si>
  <si>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</si>
  <si>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</si>
  <si>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</si>
  <si>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</si>
  <si>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</si>
  <si>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</si>
  <si>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</si>
  <si>
    <r>
      <rPr>
        <b/>
        <sz val="10"/>
        <color rgb="FFFF0000"/>
        <rFont val="Arial"/>
        <family val="2"/>
      </rPr>
      <t>2. TOTAL CONTENTIEUX JAF + 4. TOTAL CIVIL NON SPÉCIALISÉ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</si>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</sst>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formula>OR(AND(OR($R1&lt;&gt;0,$S1&lt;&gt;0,$T1&lt;&gt;0,ISBLANK($P1)),ROW()&gt;2,$A1&lt;&gt;""),LEFT($I1,3)="JA ")</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130" zoomScaleNormal="130" workbookViewId="0">
      <pane xSplit="3" ySplit="1" topLeftCell="P4" activePane="bottomRight" state="frozen"/>
      <selection activeCell="D1" sqref="D1"/>
      <selection pane="topRight" activeCell="G1" sqref="G1"/>
      <selection pane="bottomLeft" activeCell="D2" sqref="D2"/>
      <selection pane="bottomRight" activeCell="V15" sqref="V15"/>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690</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G4" zoomScaleNormal="100" workbookViewId="0">
      <selection activeCell="T5" sqref="T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657</v>
      </c>
      <c r="N4" s="249" t="s">
        <v>658</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Q14" sqref="Q14:Q1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690</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L12" sqref="L12"/>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657</v>
      </c>
      <c r="N4" s="249" t="s">
        <v>658</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t="str">
        <f>IF(ISBLANK(ETPT_ATTJ!J7),"",IF(ISERROR(ETPT_ATTJ!J7),"",IF(ETPT_ATTJ!J7=0,"",ETPT_ATTJ!J7)))</f>
        <v/>
      </c>
      <c r="K7" s="247" t="str">
        <f>IF(ISBLANK(ETPT_ATTJ!K7),"",IF(ISERROR(ETPT_ATTJ!K7),"",IF(ETPT_ATTJ!K7=0,"",ETPT_ATTJ!K7)))</f>
        <v/>
      </c>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t="str">
        <f>IF(ISBLANK(ETPT_ATTJ!J8),"",IF(ISERROR(ETPT_ATTJ!J8),"",IF(ETPT_ATTJ!J8=0,"",ETPT_ATTJ!J8)))</f>
        <v/>
      </c>
      <c r="K8" s="247" t="str">
        <f>IF(ISBLANK(ETPT_ATTJ!K8),"",IF(ISERROR(ETPT_ATTJ!K8),"",IF(ETPT_ATTJ!K8=0,"",ETPT_ATTJ!K8)))</f>
        <v/>
      </c>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t="str">
        <f>IF(ISBLANK(ETPT_ATTJ!J9),"",IF(ISERROR(ETPT_ATTJ!J9),"",IF(ETPT_ATTJ!J9=0,"",ETPT_ATTJ!J9)))</f>
        <v/>
      </c>
      <c r="K9" s="247" t="str">
        <f>IF(ISBLANK(ETPT_ATTJ!K9),"",IF(ISERROR(ETPT_ATTJ!K9),"",IF(ETPT_ATTJ!K9=0,"",ETPT_ATTJ!K9)))</f>
        <v/>
      </c>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t="str">
        <f>IF(ISBLANK(ETPT_ATTJ!J10),"",IF(ISERROR(ETPT_ATTJ!J10),"",IF(ETPT_ATTJ!J10=0,"",ETPT_ATTJ!J10)))</f>
        <v/>
      </c>
      <c r="K10" s="247" t="str">
        <f>IF(ISBLANK(ETPT_ATTJ!K10),"",IF(ISERROR(ETPT_ATTJ!K10),"",IF(ETPT_ATTJ!K10=0,"",ETPT_ATTJ!K10)))</f>
        <v/>
      </c>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t="str">
        <f>IF(ISBLANK(ETPT_ATTJ!J11),"",IF(ISERROR(ETPT_ATTJ!J11),"",IF(ETPT_ATTJ!J11=0,"",ETPT_ATTJ!J11)))</f>
        <v/>
      </c>
      <c r="K11" s="247" t="str">
        <f>IF(ISBLANK(ETPT_ATTJ!K11),"",IF(ISERROR(ETPT_ATTJ!K11),"",IF(ETPT_ATTJ!K11=0,"",ETPT_ATTJ!K11)))</f>
        <v/>
      </c>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t="str">
        <f>IF(ISBLANK(ETPT_ATTJ!J12),"",IF(ISERROR(ETPT_ATTJ!J12),"",IF(ETPT_ATTJ!J12=0,"",ETPT_ATTJ!J12)))</f>
        <v/>
      </c>
      <c r="K12" s="247" t="str">
        <f>IF(ISBLANK(ETPT_ATTJ!K12),"",IF(ISERROR(ETPT_ATTJ!K12),"",IF(ETPT_ATTJ!K12=0,"",ETPT_ATTJ!K12)))</f>
        <v/>
      </c>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G14" activePane="bottomRight" state="frozen"/>
      <selection pane="topRight" activeCell="G1" sqref="G1"/>
      <selection pane="bottomLeft" activeCell="A2" sqref="A2"/>
      <selection pane="bottomRight" activeCell="V15" sqref="V15"/>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G15"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691</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692</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659</v>
      </c>
      <c r="H2" s="363" t="s">
        <v>659</v>
      </c>
      <c r="I2" s="363" t="s">
        <v>659</v>
      </c>
      <c r="J2" s="363" t="s">
        <v>659</v>
      </c>
      <c r="K2" s="363" t="s">
        <v>659</v>
      </c>
      <c r="L2" s="363" t="s">
        <v>659</v>
      </c>
      <c r="M2" s="363" t="s">
        <v>659</v>
      </c>
      <c r="N2" s="363" t="s">
        <v>659</v>
      </c>
      <c r="O2" s="363" t="s">
        <v>659</v>
      </c>
      <c r="P2" s="363" t="s">
        <v>659</v>
      </c>
      <c r="Q2" s="363" t="s">
        <v>659</v>
      </c>
      <c r="R2" s="363" t="s">
        <v>659</v>
      </c>
      <c r="S2" s="445" t="s">
        <v>271</v>
      </c>
    </row>
    <row r="3" spans="1:19" s="395" customFormat="1" x14ac:dyDescent="0.2">
      <c r="A3" s="391"/>
      <c r="B3" s="392"/>
      <c r="C3" s="392"/>
      <c r="D3" s="392"/>
      <c r="E3" s="392"/>
      <c r="F3" s="393"/>
      <c r="G3" s="394" t="s">
        <v>273</v>
      </c>
      <c r="H3" s="394" t="s">
        <v>660</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670</v>
      </c>
      <c r="K4" s="366" t="s">
        <v>669</v>
      </c>
      <c r="L4" s="366" t="s">
        <v>657</v>
      </c>
      <c r="M4" s="366" t="s">
        <v>684</v>
      </c>
      <c r="N4" s="366" t="s">
        <v>282</v>
      </c>
      <c r="O4" s="366" t="s">
        <v>685</v>
      </c>
      <c r="P4" s="366" t="s">
        <v>686</v>
      </c>
      <c r="Q4" s="366" t="s">
        <v>687</v>
      </c>
      <c r="R4" s="366" t="s">
        <v>688</v>
      </c>
      <c r="S4" s="445"/>
    </row>
    <row r="5" spans="1:19" ht="332" x14ac:dyDescent="0.2">
      <c r="A5" s="367" t="s">
        <v>283</v>
      </c>
      <c r="B5" s="368"/>
      <c r="C5" s="368"/>
      <c r="D5" s="368"/>
      <c r="E5" s="368" t="s">
        <v>62</v>
      </c>
      <c r="F5" s="369" t="s">
        <v>61</v>
      </c>
      <c r="G5" s="370" t="s">
        <v>286</v>
      </c>
      <c r="H5" s="389" t="s">
        <v>661</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662</v>
      </c>
      <c r="I6" s="389" t="s">
        <v>689</v>
      </c>
      <c r="J6" s="389" t="s">
        <v>671</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663</v>
      </c>
      <c r="I7" s="389" t="s">
        <v>672</v>
      </c>
      <c r="J7" s="389" t="s">
        <v>673</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664</v>
      </c>
      <c r="I8" s="389" t="s">
        <v>674</v>
      </c>
      <c r="J8" s="389" t="s">
        <v>675</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665</v>
      </c>
      <c r="I9" s="389" t="s">
        <v>676</v>
      </c>
      <c r="J9" s="389" t="s">
        <v>677</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666</v>
      </c>
      <c r="I10" s="389" t="s">
        <v>678</v>
      </c>
      <c r="J10" s="389" t="s">
        <v>679</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667</v>
      </c>
      <c r="I11" s="389" t="s">
        <v>680</v>
      </c>
      <c r="J11" s="389" t="s">
        <v>681</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668</v>
      </c>
      <c r="I12" s="389" t="s">
        <v>682</v>
      </c>
      <c r="J12" s="389" t="s">
        <v>683</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François-Xavier Montigny</cp:lastModifiedBy>
  <dcterms:created xsi:type="dcterms:W3CDTF">2020-03-26T00:32:42Z</dcterms:created>
  <dcterms:modified xsi:type="dcterms:W3CDTF">2026-03-24T09:52:12Z</dcterms:modified>
  <cp:category/>
</cp:coreProperties>
</file>