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4C157242-DAA6-7E4F-86EE-CB1B1EEF8BFD}" xr6:coauthVersionLast="47" xr6:coauthVersionMax="47" xr10:uidLastSave="{00000000-0000-0000-0000-000000000000}"/>
  <bookViews>
    <workbookView xWindow="100" yWindow="780" windowWidth="30160" windowHeight="1766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30" l="1"/>
  <c r="G4" i="30"/>
  <c r="I14" i="30"/>
  <c r="I12" i="30"/>
  <c r="I3" i="30"/>
  <c r="G3" i="30"/>
  <c r="F4" i="41" a="1"/>
  <c r="F4" i="41" s="1"/>
  <c r="G6" i="41"/>
  <c r="G6" i="42" s="1"/>
  <c r="H7" i="41"/>
  <c r="H6" i="41"/>
  <c r="H6" i="42" s="1"/>
  <c r="I4" i="41" a="1"/>
  <c r="I4" i="41" s="1"/>
  <c r="E4" i="41" a="1"/>
  <c r="E4" i="41" s="1"/>
  <c r="H4" i="42"/>
  <c r="H5" i="42"/>
  <c r="H7" i="42"/>
  <c r="H8" i="42"/>
  <c r="H9" i="42"/>
  <c r="H10" i="42"/>
  <c r="G4" i="42"/>
  <c r="G5" i="42"/>
  <c r="G7" i="42"/>
  <c r="G8" i="42"/>
  <c r="G9" i="42"/>
  <c r="G10" i="42"/>
  <c r="G3" i="42"/>
  <c r="H3" i="42"/>
  <c r="I3" i="41" a="1"/>
  <c r="I3" i="41" s="1"/>
  <c r="E3" i="41" a="1"/>
  <c r="E3" i="41" s="1"/>
  <c r="H10" i="41"/>
  <c r="H9" i="41"/>
  <c r="H8" i="41"/>
  <c r="H5" i="41"/>
  <c r="H4" i="41" a="1"/>
  <c r="H4" i="41" s="1"/>
  <c r="G10" i="41"/>
  <c r="G9" i="41"/>
  <c r="G8" i="41"/>
  <c r="G7" i="41"/>
  <c r="G5" i="41"/>
  <c r="G4" i="41" a="1"/>
  <c r="G4" i="41" s="1"/>
  <c r="F3" i="41" a="1"/>
  <c r="F3" i="41" s="1"/>
  <c r="G11" i="41" l="1"/>
  <c r="G11" i="42" s="1"/>
  <c r="H11" i="41"/>
  <c r="H11" i="42" s="1"/>
  <c r="J11" i="41"/>
  <c r="K11" i="41"/>
  <c r="J13" i="43"/>
  <c r="K13" i="43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N14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J14" i="30"/>
  <c r="N14" i="25" l="1"/>
  <c r="O14" i="30"/>
  <c r="O14" i="25" s="1"/>
  <c r="D9" i="42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H4" i="30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<sst xmlns="http://schemas.openxmlformats.org/spreadsheetml/2006/main" count="602" uniqueCount="339">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</sst>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E5" sqref="E5:F5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G4" sqref="G4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AJ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AJ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AJ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AJ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AJ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AJ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C1" zoomScaleNormal="100" workbookViewId="0">
      <selection activeCell="F4" sqref="F4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AJ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AJ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AJ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INDEX('ETPT Format DDG'!$A:$ZZ,,MATCH("12.5. EXTRADITIONS ET MAE",'ETPT Format DDG'!2:2,0)),
INDEX('ETPT Format DDG'!$A:$ZZ,,MATCH("Fonction recodée",'ETPT Format DDG'!2:2,0)),
{"JA/AttJ Parquet";"JA/AttJ Siège autres";"JA/AttJ Siège Assises";"JA/AttJ Siège CCD"}))
+SUM(SUMIFS(
INDEX('ETPT Format DDG'!$A:$ZZ,,MATCH("12.6. SAISIES ET CONFISCATIONS DES AVOIRS CRIMINELS",'ETPT Format DDG'!2:2,0)),
INDEX('ETPT Format DDG'!$A:$ZZ,,MATCH("Fonction recodée",'ETPT Format DDG'!2:2,0)),
{"JA/AttJ Parquet";"JA/AttJ Siège autres";"JA/AttJ Siège Assises";"JA/AttJ Siège CCD"}))
+SUM(SUMIFS(
INDEX('ETPT Format DDG'!$A:$ZZ,,MATCH("12.9. AUTRES APPELS JLD",'ETPT Format DDG'!2:2,0)),
INDEX('ETPT Format DDG'!$A:$ZZ,,MATCH("Fonction recodée",'ETPT Format DDG'!2:2,0)),
{"JA/AttJ Parquet";"JA/AttJ Siège autres";"JA/AttJ Siège Assises";"JA/AttJ Siège CCD"}))
+SUM(SUMIFS(
INDEX('ETPT Format DDG'!$A:$ZZ,,MATCH("7.2. ACTIVITÉ PÉNALE",'ETPT Format DDG'!2:2,0)),
INDEX('ETPT Format DDG'!$A:$ZZ,,MATCH("Fonction recodée",'ETPT Format DDG'!2:2,0)),
{"JA/AttJ Parquet";"JA/AttJ Siège autres";"JA/AttJ Siège Assises";"JA/AttJ Siège CCD"}))
+SUM(SUMIFS(
INDEX('ETPT Format DDG'!$A:$ZZ,,MATCH("8. TOTAL CORRECTIONNEL",'ETPT Format DDG'!2:2,0)),
INDEX('ETPT Format DDG'!$A:$ZZ,,MATCH("Fonction recodée",'ETPT Format DDG'!2:2,0)),
{"JA/AttJ Parquet";"JA/AttJ Siège autres";"JA/AttJ Siège Assises";"JA/AttJ Siège CCD"}))
+SUM(SUMIFS(
INDEX('ETPT Format DDG'!$A:$ZZ,,MATCH("9. TOTAL INSTRUCTION ET ENTRAIDE",'ETPT Format DDG'!2:2,0)),
INDEX('ETPT Format DDG'!$A:$ZZ,,MATCH("Fonction recodée",'ETPT Format DDG'!2:2,0)),
{"JA/AttJ Parquet";"JA/AttJ Siège autres";"JA/AttJ Siège Assises";"JA/AttJ Siège CCD"}))
+SUM(SUMIFS(
INDEX('ETPT Format DDG'!$A:$ZZ,,MATCH("10. TOTAL APPLICATION DES PEINES",'ETPT Format DDG'!2:2,0)),
INDEX('ETPT Format DDG'!$A:$ZZ,,MATCH("Fonction recodée",'ETPT Format DDG'!2:2,0)),
{"JA/AttJ Parquet";"JA/AttJ Siège autres";"JA/AttJ Siège Assises";"JA/AttJ Siège CCD"}))
+SUM(SUMIFS(
INDEX('ETPT Format DDG'!$A:$ZZ,,MATCH("11. TOTAL CONTENTIEUX CRIMINEL",'ETPT Format DDG'!2:2,0)),
INDEX('ETPT Format DDG'!$A:$ZZ,,MATCH("Fonction recodée",'ETPT Format DDG'!2:2,0)),
{"JA/AttJ Parquet";"JA/AttJ Siège autres";"JA/AttJ Siège Assises";"JA/AttJ Siège CCD"}))
-SUM(SUMIFS(
INDEX('ETPT Format DDG'!$A:$ZZ,,MATCH("11.1. ASSISES HORS JIRS",'ETPT Format DDG'!2:2,0)),
INDEX('ETPT Format DDG'!$A:$ZZ,,MATCH("Fonction recodée",'ETPT Format DDG'!2:2,0)),
{"JA/AttJ Parquet";"JA/AttJ Siège autres";"JA/AttJ Siège Assises";"JA/AttJ Siège CCD"}))
-SUM(SUMIFS(
INDEX('ETPT Format DDG'!$A:$ZZ,,MATCH("11.2 ASSISES JIRS",'ETPT Format DDG'!2:2,0)),
INDEX('ETPT Format DDG'!$A:$ZZ,,MATCH("Fonction recodée",'ETPT Format DDG'!2:2,0)),
{"JA/AttJ Parquet";"JA/AttJ Siège autres";"JA/AttJ Siège Assises";"JA/AttJ Siège CCD"}))
-SUM(SUMIFS(
INDEX('ETPT Format DDG'!$A:$ZZ,,MATCH("11.3. COUR CRIMINELLE DÉPARTEMENTALE",'ETPT Format DDG'!2:2,0)),
INDEX('ETPT Format DDG'!$A:$ZZ,,MATCH("Fonction recodée",'ETPT Format DDG'!2:2,0)),
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AJ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Assises"))+
SUM(SUMIFS(
INDEX( 'ETPT Format DDG'!$A:$ZZ,,MATCH("13.5. EXPERTISES (SUIVI ET LISTES)",'ETPT Format DDG'!2:2,0)),
INDEX( 'ETPT Format DDG'!$A:$ZZ,,MATCH("Fonction recodée",'ETPT Format DDG'!2:2,0)),"JA/AttJ Siège Assises"))+
SUM(SUMIFS(
INDEX( 'ETPT Format DDG'!$A:$ZZ,,MATCH("13.2. FORMATIONS SUIVIES",'ETPT Format DDG'!2:2,0)),
INDEX( 'ETPT Format DDG'!$A:$ZZ,,MATCH("Fonction recodée",'ETPT Format DDG'!2:2,0)),"JA/AttJ Siège Assises"))+
SUM(SUMIFS(
INDEX( 'ETPT Format DDG'!$A:$ZZ,,MATCH("13.6. MÉDIATION / CONCILIATION (SUIVI ET LISTES)",'ETPT Format DDG'!2:2,0)),
INDEX( 'ETPT Format DDG'!$A:$ZZ,,MATCH("Fonction recodée",'ETPT Format DDG'!2:2,0)),"JA/AttJ Siège Assises"))+
SUM(SUMIFS(
INDEX( 'ETPT Format DDG'!$A:$ZZ,,MATCH("13.14. POLITIQUE ASSOCIATIVE ET AIDE AUX VICTIMES",'ETPT Format DDG'!2:2,0)),
INDEX( 'ETPT Format DDG'!$A:$ZZ,,MATCH("Fonction recodée",'ETPT Format DDG'!2:2,0)),"JA/AttJ Siège Assises"))+
SUM(SUMIFS(
INDEX( 'ETPT Format DDG'!$A:$ZZ,,MATCH("13.1. SOUTIEN (AUTRES)",'ETPT Format DDG'!2:2,0)),
INDEX( 'ETPT Format DDG'!$A:$ZZ,,MATCH("Fonction recodée",'ETPT Format DDG'!2:2,0)),"JA/AttJ Siège Assises"))+
SUM(SUMIFS(
INDEX( 'ETPT Format DDG'!$A:$ZZ,,MATCH("13.15. AUTRES ACTIVITÉS NON JURIDICTIONNELLES",'ETPT Format DDG'!2:2,0)),
INDEX( 'ETPT Format DDG'!$A:$ZZ,,MATCH("Fonction recodée",'ETPT Format DDG'!2:2,0)),"JA/AttJ Siège Assises"))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CCD"))+
SUM(SUMIFS(
INDEX( 'ETPT Format DDG'!$A:$ZZ,,MATCH("13.5. EXPERTISES (SUIVI ET LISTES)",'ETPT Format DDG'!2:2,0)),
INDEX( 'ETPT Format DDG'!$A:$ZZ,,MATCH("Fonction recodée",'ETPT Format DDG'!2:2,0)),"JA/AttJ Siège CCD"))+
SUM(SUMIFS(
INDEX( 'ETPT Format DDG'!$A:$ZZ,,MATCH("13.2. FORMATIONS SUIVIES",'ETPT Format DDG'!2:2,0)),
INDEX( 'ETPT Format DDG'!$A:$ZZ,,MATCH("Fonction recodée",'ETPT Format DDG'!2:2,0)),"JA/AttJ Siège CCD"))+
SUM(SUMIFS(
INDEX( 'ETPT Format DDG'!$A:$ZZ,,MATCH("13.6. MÉDIATION / CONCILIATION (SUIVI ET LISTES)",'ETPT Format DDG'!2:2,0)),
INDEX( 'ETPT Format DDG'!$A:$ZZ,,MATCH("Fonction recodée",'ETPT Format DDG'!2:2,0)),"JA/AttJ Siège CCD"))+
SUM(SUMIFS(
INDEX( 'ETPT Format DDG'!$A:$ZZ,,MATCH("13.14. POLITIQUE ASSOCIATIVE ET AIDE AUX VICTIMES",'ETPT Format DDG'!2:2,0)),
INDEX( 'ETPT Format DDG'!$A:$ZZ,,MATCH("Fonction recodée",'ETPT Format DDG'!2:2,0)),"JA/AttJ Siège CCD"))+
SUM(SUMIFS(
INDEX( 'ETPT Format DDG'!$A:$ZZ,,MATCH("13.1. SOUTIEN (AUTRES)",'ETPT Format DDG'!2:2,0)),
INDEX( 'ETPT Format DDG'!$A:$ZZ,,MATCH("Fonction recodée",'ETPT Format DDG'!2:2,0)),"JA/AttJ Siège CCD"))+
SUM(SUMIFS(
INDEX( 'ETPT Format DDG'!$A:$ZZ,,MATCH("13.15. AUTRES ACTIVITÉS NON JURIDICTIONNELLES",'ETPT Format DDG'!2:2,0)),
INDEX( 'ETPT Format DDG'!$A:$ZZ,,MATCH("Fonction recodée",'ETPT Format DDG'!2:2,0)),"JA/AttJ Siège CCD"))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CCD"))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zoomScaleNormal="100" workbookViewId="0">
      <selection activeCell="E4" sqref="E4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 t="str">
        <f>IF(ISERROR(ETPT_CA_ATTJ!G3),"",IF(ETPT_CA_ATTJ!G3=0,"",ETPT_CA_ATTJ!G3))</f>
        <v/>
      </c>
      <c r="H3" s="135" t="str">
        <f>IF(ISERROR(ETPT_CA_ATTJ!H3),"",IF(ETPT_CA_ATTJ!H3=0,"",ETPT_CA_ATTJ!H3))</f>
        <v/>
      </c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 t="str">
        <f>IF(ISERROR(ETPT_CA_ATTJ!G4),"",IF(ETPT_CA_ATTJ!G4=0,"",ETPT_CA_ATTJ!G4))</f>
        <v/>
      </c>
      <c r="H4" s="135" t="str">
        <f>IF(ISERROR(ETPT_CA_ATTJ!H4),"",IF(ETPT_CA_ATTJ!H4=0,"",ETPT_CA_ATTJ!H4))</f>
        <v/>
      </c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 t="str">
        <f>IF(ISERROR(ETPT_CA_ATTJ!G5),"",IF(ETPT_CA_ATTJ!G5=0,"",ETPT_CA_ATTJ!G5))</f>
        <v/>
      </c>
      <c r="H5" s="135" t="str">
        <f>IF(ISERROR(ETPT_CA_ATTJ!H5),"",IF(ETPT_CA_ATTJ!H5=0,"",ETPT_CA_ATTJ!H5))</f>
        <v/>
      </c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 t="str">
        <f>IF(ISERROR(ETPT_CA_ATTJ!G6),"",IF(ETPT_CA_ATTJ!G6=0,"",ETPT_CA_ATTJ!G6))</f>
        <v/>
      </c>
      <c r="H6" s="135" t="str">
        <f>IF(ISERROR(ETPT_CA_ATTJ!H6),"",IF(ETPT_CA_ATTJ!H6=0,"",ETPT_CA_ATTJ!H6))</f>
        <v/>
      </c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 t="str">
        <f>IF(ISERROR(ETPT_CA_ATTJ!G7),"",IF(ETPT_CA_ATTJ!G7=0,"",ETPT_CA_ATTJ!G7))</f>
        <v/>
      </c>
      <c r="H7" s="135" t="str">
        <f>IF(ISERROR(ETPT_CA_ATTJ!H7),"",IF(ETPT_CA_ATTJ!H7=0,"",ETPT_CA_ATTJ!H7))</f>
        <v/>
      </c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 t="str">
        <f>IF(ISERROR(ETPT_CA_ATTJ!G8),"",IF(ETPT_CA_ATTJ!G8=0,"",ETPT_CA_ATTJ!G8))</f>
        <v/>
      </c>
      <c r="H8" s="135" t="str">
        <f>IF(ISERROR(ETPT_CA_ATTJ!H8),"",IF(ETPT_CA_ATTJ!H8=0,"",ETPT_CA_ATTJ!H8))</f>
        <v/>
      </c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 t="str">
        <f>IF(ISERROR(ETPT_CA_ATTJ!G9),"",IF(ETPT_CA_ATTJ!G9=0,"",ETPT_CA_ATTJ!G9))</f>
        <v/>
      </c>
      <c r="H9" s="135" t="str">
        <f>IF(ISERROR(ETPT_CA_ATTJ!H9),"",IF(ETPT_CA_ATTJ!H9=0,"",ETPT_CA_ATTJ!H9))</f>
        <v/>
      </c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 t="str">
        <f>IF(ISERROR(ETPT_CA_ATTJ!G10),"",IF(ETPT_CA_ATTJ!G10=0,"",ETPT_CA_ATTJ!G10))</f>
        <v/>
      </c>
      <c r="H10" s="135" t="str">
        <f>IF(ISERROR(ETPT_CA_ATTJ!H10),"",IF(ETPT_CA_ATTJ!H10=0,"",ETPT_CA_ATTJ!H10))</f>
        <v/>
      </c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>
        <f>ETPT_CA_ATTJ!G11</f>
        <v>0</v>
      </c>
      <c r="H11" s="141">
        <f>ETPT_CA_ATTJ!H11</f>
        <v>0</v>
      </c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2026-03-06T09:28:39Z</dcterms:modified>
  <cp:category/>
</cp:coreProperties>
</file>