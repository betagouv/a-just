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inum-327809/Documents/a-just-dev/a-just/front/src/assets/"/>
    </mc:Choice>
  </mc:AlternateContent>
  <xr:revisionPtr revIDLastSave="0" documentId="13_ncr:1_{3B40D2F7-3B7F-C042-A959-F34694F23E4E}" xr6:coauthVersionLast="47" xr6:coauthVersionMax="47" xr10:uidLastSave="{00000000-0000-0000-0000-000000000000}"/>
  <bookViews>
    <workbookView xWindow="100" yWindow="780" windowWidth="30160" windowHeight="17660" activeTab="8" xr2:uid="{50CB0F02-73D8-432D-BA19-0D33B1FE1838}"/>
  </bookViews>
  <sheets>
    <sheet name="ACCUEIL" sheetId="33" r:id="rId1"/>
    <sheet name="ETPT A-JUST" sheetId="1" r:id="rId2"/>
    <sheet name="ETPT Format DDG" sheetId="9" r:id="rId3"/>
    <sheet name="Synthèse ETPT" sheetId="10" r:id="rId4"/>
    <sheet name="ETPT Format DDG DETAIL" sheetId="44" state="hidden" r:id="rId5"/>
    <sheet name="codage tribunal" sheetId="12" state="hidden" r:id="rId6"/>
    <sheet name="Juridictions" sheetId="17" state="hidden" r:id="rId7"/>
    <sheet name="Table_Fonctions" sheetId="19" state="hidden" r:id="rId8"/>
    <sheet name="ETPT_CA_JUR" sheetId="30" r:id="rId9"/>
    <sheet name="ETPT_CA_JUR_DDG" sheetId="25" r:id="rId10"/>
    <sheet name="ETPT_CA_ATTJ" sheetId="41" state="hidden" r:id="rId11"/>
    <sheet name="ETPT_CA_ATTJ_DDG" sheetId="42" r:id="rId12"/>
    <sheet name="ETPT_CA_JUR Corresp" sheetId="38" state="hidden" r:id="rId13"/>
    <sheet name="ETPT_ATTACHES_JUSTICE Corresp" sheetId="43" state="hidden" r:id="rId14"/>
  </sheets>
  <definedNames>
    <definedName name="_xlnm._FilterDatabase" localSheetId="1" hidden="1">'ETPT A-JUST'!$A$2:$DN$2</definedName>
    <definedName name="_xlnm._FilterDatabase" localSheetId="2" hidden="1">'ETPT Format DDG'!$A$2:$DT$2</definedName>
    <definedName name="_xlnm._FilterDatabase" localSheetId="7" hidden="1">Table_Fonctions!$A$1:$F$83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0" l="1"/>
  <c r="G4" i="30"/>
  <c r="I14" i="30"/>
  <c r="I12" i="30"/>
  <c r="I3" i="30"/>
  <c r="G3" i="30"/>
  <c r="F4" i="41" a="1"/>
  <c r="F4" i="41" s="1"/>
  <c r="G6" i="41"/>
  <c r="G6" i="42" s="1"/>
  <c r="H7" i="41"/>
  <c r="H6" i="41"/>
  <c r="H6" i="42" s="1"/>
  <c r="I4" i="41" a="1"/>
  <c r="I4" i="41" s="1"/>
  <c r="E4" i="41" a="1"/>
  <c r="E4" i="41" s="1"/>
  <c r="H4" i="42"/>
  <c r="H5" i="42"/>
  <c r="H7" i="42"/>
  <c r="H8" i="42"/>
  <c r="H9" i="42"/>
  <c r="H10" i="42"/>
  <c r="G4" i="42"/>
  <c r="G5" i="42"/>
  <c r="G7" i="42"/>
  <c r="G8" i="42"/>
  <c r="G9" i="42"/>
  <c r="G10" i="42"/>
  <c r="G3" i="42"/>
  <c r="H3" i="42"/>
  <c r="I3" i="41" a="1"/>
  <c r="I3" i="41" s="1"/>
  <c r="E3" i="41" a="1"/>
  <c r="E3" i="41" s="1"/>
  <c r="H10" i="41"/>
  <c r="H9" i="41"/>
  <c r="H8" i="41"/>
  <c r="H5" i="41"/>
  <c r="H4" i="41" a="1"/>
  <c r="H4" i="41" s="1"/>
  <c r="G10" i="41"/>
  <c r="G9" i="41"/>
  <c r="G8" i="41"/>
  <c r="G7" i="41"/>
  <c r="G5" i="41"/>
  <c r="G4" i="41" a="1"/>
  <c r="G4" i="41" s="1"/>
  <c r="F3" i="41" a="1"/>
  <c r="F3" i="41" s="1"/>
  <c r="G11" i="41" l="1"/>
  <c r="G11" i="42" s="1"/>
  <c r="H11" i="41"/>
  <c r="H11" i="42" s="1"/>
  <c r="J11" i="41"/>
  <c r="K11" i="41"/>
  <c r="J13" i="43"/>
  <c r="K13" i="43"/>
  <c r="D3" i="41" a="1"/>
  <c r="D3" i="41" s="1"/>
  <c r="T12" i="30"/>
  <c r="T6" i="30"/>
  <c r="T5" i="30"/>
  <c r="N6" i="30"/>
  <c r="N12" i="30"/>
  <c r="R6" i="10"/>
  <c r="U6" i="10"/>
  <c r="P13" i="43"/>
  <c r="O13" i="43"/>
  <c r="N13" i="43"/>
  <c r="M13" i="43"/>
  <c r="L13" i="43"/>
  <c r="I13" i="43"/>
  <c r="H13" i="43"/>
  <c r="G13" i="43"/>
  <c r="F13" i="43"/>
  <c r="P12" i="43"/>
  <c r="P11" i="43"/>
  <c r="P10" i="43"/>
  <c r="P9" i="43"/>
  <c r="P8" i="43"/>
  <c r="P7" i="43"/>
  <c r="P6" i="43"/>
  <c r="P5" i="43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U14" i="38"/>
  <c r="O14" i="38"/>
  <c r="H14" i="38"/>
  <c r="U13" i="38"/>
  <c r="O13" i="38"/>
  <c r="H13" i="38"/>
  <c r="U12" i="38"/>
  <c r="O12" i="38"/>
  <c r="H12" i="38"/>
  <c r="U11" i="38"/>
  <c r="O11" i="38"/>
  <c r="H11" i="38"/>
  <c r="U10" i="38"/>
  <c r="O10" i="38"/>
  <c r="H10" i="38"/>
  <c r="U9" i="38"/>
  <c r="O9" i="38"/>
  <c r="H9" i="38"/>
  <c r="U8" i="38"/>
  <c r="O8" i="38"/>
  <c r="H8" i="38"/>
  <c r="U7" i="38"/>
  <c r="O7" i="38"/>
  <c r="H7" i="38"/>
  <c r="U6" i="38"/>
  <c r="O6" i="38"/>
  <c r="H6" i="38"/>
  <c r="U5" i="38"/>
  <c r="O5" i="38"/>
  <c r="H5" i="38"/>
  <c r="U4" i="38"/>
  <c r="O4" i="38"/>
  <c r="H4" i="38"/>
  <c r="U3" i="38"/>
  <c r="O3" i="38"/>
  <c r="H3" i="38"/>
  <c r="S6" i="10"/>
  <c r="L6" i="10"/>
  <c r="N17" i="25"/>
  <c r="G17" i="25"/>
  <c r="G14" i="25"/>
  <c r="T7" i="30" l="1"/>
  <c r="AA14" i="30" l="1"/>
  <c r="AA15" i="30"/>
  <c r="AA15" i="25"/>
  <c r="H14" i="25"/>
  <c r="AA4" i="25"/>
  <c r="AA5" i="25"/>
  <c r="AA6" i="25"/>
  <c r="AA7" i="25"/>
  <c r="AA8" i="25"/>
  <c r="AA9" i="25"/>
  <c r="AA10" i="25"/>
  <c r="AA11" i="25"/>
  <c r="AA12" i="25"/>
  <c r="AA13" i="25"/>
  <c r="AA14" i="25"/>
  <c r="AA3" i="25"/>
  <c r="U13" i="25"/>
  <c r="U14" i="25"/>
  <c r="O5" i="25"/>
  <c r="O13" i="25"/>
  <c r="V15" i="25"/>
  <c r="W15" i="25"/>
  <c r="X15" i="25"/>
  <c r="Y15" i="25"/>
  <c r="Z15" i="25"/>
  <c r="H5" i="25"/>
  <c r="H12" i="25"/>
  <c r="H13" i="25"/>
  <c r="H14" i="30"/>
  <c r="H5" i="30"/>
  <c r="H12" i="30"/>
  <c r="H13" i="30"/>
  <c r="O5" i="30"/>
  <c r="O12" i="30"/>
  <c r="O12" i="25" s="1"/>
  <c r="O13" i="30"/>
  <c r="U6" i="30"/>
  <c r="U6" i="25" s="1"/>
  <c r="U7" i="30"/>
  <c r="U7" i="25" s="1"/>
  <c r="U12" i="30"/>
  <c r="U12" i="25" s="1"/>
  <c r="U13" i="30"/>
  <c r="U14" i="30"/>
  <c r="AA3" i="30"/>
  <c r="AA4" i="30"/>
  <c r="AA5" i="30"/>
  <c r="AA6" i="30"/>
  <c r="AA7" i="30"/>
  <c r="AA8" i="30"/>
  <c r="AA9" i="30"/>
  <c r="AA10" i="30"/>
  <c r="AA11" i="30"/>
  <c r="AA12" i="30"/>
  <c r="AA13" i="30"/>
  <c r="Z15" i="30"/>
  <c r="Y15" i="30"/>
  <c r="X15" i="30"/>
  <c r="W15" i="30"/>
  <c r="V15" i="30"/>
  <c r="D14" i="25"/>
  <c r="A3" i="42"/>
  <c r="A5" i="42" s="1"/>
  <c r="L11" i="41"/>
  <c r="M11" i="41"/>
  <c r="N11" i="41"/>
  <c r="O11" i="41"/>
  <c r="L4" i="42"/>
  <c r="M4" i="42"/>
  <c r="N4" i="42"/>
  <c r="O4" i="42"/>
  <c r="L5" i="42"/>
  <c r="M5" i="42"/>
  <c r="N5" i="42"/>
  <c r="O5" i="42"/>
  <c r="L6" i="42"/>
  <c r="M6" i="42"/>
  <c r="N6" i="42"/>
  <c r="O6" i="42"/>
  <c r="L7" i="42"/>
  <c r="M7" i="42"/>
  <c r="N7" i="42"/>
  <c r="O7" i="42"/>
  <c r="L8" i="42"/>
  <c r="M8" i="42"/>
  <c r="N8" i="42"/>
  <c r="O8" i="42"/>
  <c r="L9" i="42"/>
  <c r="M9" i="42"/>
  <c r="N9" i="42"/>
  <c r="O9" i="42"/>
  <c r="L10" i="42"/>
  <c r="M10" i="42"/>
  <c r="N10" i="42"/>
  <c r="O10" i="42"/>
  <c r="I3" i="42"/>
  <c r="L3" i="42"/>
  <c r="M3" i="42"/>
  <c r="N3" i="42"/>
  <c r="O3" i="42"/>
  <c r="A4" i="42" l="1"/>
  <c r="A10" i="42"/>
  <c r="A9" i="42"/>
  <c r="A8" i="42"/>
  <c r="A7" i="42"/>
  <c r="A6" i="42"/>
  <c r="Q6" i="10" l="1"/>
  <c r="P6" i="10"/>
  <c r="N6" i="10"/>
  <c r="K6" i="10"/>
  <c r="J6" i="10"/>
  <c r="I6" i="10"/>
  <c r="G6" i="10"/>
  <c r="V6" i="10" l="1"/>
  <c r="T6" i="10"/>
  <c r="O6" i="10"/>
  <c r="H6" i="10"/>
  <c r="M6" i="10" l="1"/>
  <c r="E9" i="41" a="1"/>
  <c r="E9" i="41" s="1"/>
  <c r="E9" i="42" s="1"/>
  <c r="E8" i="41" a="1"/>
  <c r="E8" i="41" s="1"/>
  <c r="E8" i="42" s="1"/>
  <c r="I9" i="41"/>
  <c r="I8" i="41"/>
  <c r="E10" i="41" a="1"/>
  <c r="E10" i="41" s="1"/>
  <c r="I10" i="41"/>
  <c r="I10" i="42" s="1"/>
  <c r="F10" i="41"/>
  <c r="F9" i="41"/>
  <c r="F9" i="42" s="1"/>
  <c r="F5" i="41"/>
  <c r="F5" i="42" s="1"/>
  <c r="D10" i="41" a="1"/>
  <c r="D10" i="41" s="1"/>
  <c r="D9" i="41" a="1"/>
  <c r="D9" i="41" s="1"/>
  <c r="D8" i="41" a="1"/>
  <c r="D8" i="41" s="1"/>
  <c r="G10" i="30"/>
  <c r="H10" i="30" s="1"/>
  <c r="H10" i="25" s="1"/>
  <c r="E7" i="41" a="1"/>
  <c r="E7" i="41" s="1"/>
  <c r="E7" i="42" s="1"/>
  <c r="I7" i="41"/>
  <c r="F8" i="41"/>
  <c r="F8" i="42" s="1"/>
  <c r="F7" i="41"/>
  <c r="F7" i="42" s="1"/>
  <c r="D7" i="41" a="1"/>
  <c r="D7" i="41" s="1"/>
  <c r="G9" i="30"/>
  <c r="H9" i="30" s="1"/>
  <c r="H9" i="25" s="1"/>
  <c r="E6" i="41" a="1"/>
  <c r="E6" i="41" s="1"/>
  <c r="E6" i="42" s="1"/>
  <c r="I6" i="41"/>
  <c r="F6" i="41"/>
  <c r="F6" i="42" s="1"/>
  <c r="D6" i="41" a="1"/>
  <c r="D6" i="41" s="1"/>
  <c r="G8" i="30"/>
  <c r="H8" i="30" s="1"/>
  <c r="H8" i="25" s="1"/>
  <c r="E5" i="41" a="1"/>
  <c r="E5" i="41" s="1"/>
  <c r="E5" i="42" s="1"/>
  <c r="I5" i="41"/>
  <c r="D5" i="41" a="1"/>
  <c r="D5" i="41" s="1"/>
  <c r="G7" i="30"/>
  <c r="H7" i="30" s="1"/>
  <c r="H7" i="25" s="1"/>
  <c r="D4" i="41" a="1"/>
  <c r="D4" i="41" s="1"/>
  <c r="F4" i="42"/>
  <c r="G6" i="30"/>
  <c r="H6" i="30" s="1"/>
  <c r="H6" i="25" s="1"/>
  <c r="E4" i="42"/>
  <c r="N14" i="30"/>
  <c r="O11" i="42"/>
  <c r="N11" i="42"/>
  <c r="M11" i="42"/>
  <c r="L11" i="42"/>
  <c r="P3" i="25"/>
  <c r="T13" i="30" a="1"/>
  <c r="T13" i="30" s="1"/>
  <c r="G17" i="30" a="1"/>
  <c r="G17" i="30" s="1"/>
  <c r="N17" i="30" a="1"/>
  <c r="N17" i="30" s="1"/>
  <c r="U5" i="30"/>
  <c r="U5" i="25" s="1"/>
  <c r="S3" i="30"/>
  <c r="T3" i="30"/>
  <c r="S14" i="30"/>
  <c r="R14" i="30"/>
  <c r="Q14" i="30"/>
  <c r="P14" i="30"/>
  <c r="T14" i="30" s="1"/>
  <c r="S12" i="30"/>
  <c r="R12" i="30"/>
  <c r="Q12" i="30"/>
  <c r="P12" i="30"/>
  <c r="T11" i="30"/>
  <c r="U11" i="30" s="1"/>
  <c r="U11" i="25" s="1"/>
  <c r="T10" i="30"/>
  <c r="U10" i="30" s="1"/>
  <c r="U10" i="25" s="1"/>
  <c r="T9" i="30"/>
  <c r="U9" i="30" s="1"/>
  <c r="U9" i="25" s="1"/>
  <c r="T8" i="30"/>
  <c r="U8" i="30" s="1"/>
  <c r="U8" i="25" s="1"/>
  <c r="R4" i="30"/>
  <c r="R15" i="30" s="1"/>
  <c r="R15" i="25" s="1"/>
  <c r="Q4" i="30"/>
  <c r="Q15" i="30" s="1"/>
  <c r="Q15" i="25" s="1"/>
  <c r="P4" i="30"/>
  <c r="T4" i="30" s="1"/>
  <c r="G14" i="30"/>
  <c r="G12" i="30"/>
  <c r="M12" i="30"/>
  <c r="N11" i="30"/>
  <c r="O11" i="30" s="1"/>
  <c r="O11" i="25" s="1"/>
  <c r="N10" i="30"/>
  <c r="O10" i="30" s="1"/>
  <c r="O10" i="25" s="1"/>
  <c r="G11" i="30"/>
  <c r="H11" i="30" s="1"/>
  <c r="H11" i="25" s="1"/>
  <c r="N9" i="30"/>
  <c r="O9" i="30" s="1"/>
  <c r="O9" i="25" s="1"/>
  <c r="N8" i="30"/>
  <c r="O8" i="30" s="1"/>
  <c r="O8" i="25" s="1"/>
  <c r="N7" i="30"/>
  <c r="O7" i="30" s="1"/>
  <c r="O7" i="25" s="1"/>
  <c r="O6" i="30"/>
  <c r="O6" i="25" s="1"/>
  <c r="N3" i="30"/>
  <c r="M3" i="30"/>
  <c r="M15" i="30" s="1"/>
  <c r="M15" i="25" s="1"/>
  <c r="M14" i="30"/>
  <c r="L12" i="30"/>
  <c r="K4" i="30"/>
  <c r="K15" i="30" s="1"/>
  <c r="K15" i="25" s="1"/>
  <c r="L14" i="30"/>
  <c r="K12" i="30"/>
  <c r="L4" i="30"/>
  <c r="L15" i="30" s="1"/>
  <c r="L15" i="25" s="1"/>
  <c r="K14" i="30"/>
  <c r="J12" i="30"/>
  <c r="J4" i="30"/>
  <c r="J14" i="30"/>
  <c r="N14" i="25" l="1"/>
  <c r="O14" i="30"/>
  <c r="O14" i="25" s="1"/>
  <c r="D9" i="42"/>
  <c r="P9" i="41"/>
  <c r="D4" i="42"/>
  <c r="P4" i="41"/>
  <c r="P4" i="42" s="1"/>
  <c r="D10" i="42"/>
  <c r="P10" i="41"/>
  <c r="P10" i="42" s="1"/>
  <c r="I15" i="30"/>
  <c r="I15" i="25" s="1"/>
  <c r="O3" i="30"/>
  <c r="S15" i="30"/>
  <c r="S15" i="25" s="1"/>
  <c r="U3" i="30"/>
  <c r="P7" i="41"/>
  <c r="P7" i="42" s="1"/>
  <c r="D7" i="42"/>
  <c r="G3" i="25"/>
  <c r="H3" i="30"/>
  <c r="D5" i="42"/>
  <c r="P5" i="41"/>
  <c r="P5" i="42" s="1"/>
  <c r="P15" i="30"/>
  <c r="P15" i="25" s="1"/>
  <c r="U4" i="30"/>
  <c r="U4" i="25" s="1"/>
  <c r="T15" i="30"/>
  <c r="T15" i="25" s="1"/>
  <c r="E11" i="41"/>
  <c r="E11" i="42" s="1"/>
  <c r="E3" i="42"/>
  <c r="I5" i="42"/>
  <c r="F10" i="42"/>
  <c r="D11" i="41"/>
  <c r="D11" i="42" s="1"/>
  <c r="P3" i="41"/>
  <c r="P3" i="42" s="1"/>
  <c r="D3" i="42"/>
  <c r="I7" i="42"/>
  <c r="D6" i="42"/>
  <c r="P6" i="41"/>
  <c r="P6" i="42" s="1"/>
  <c r="O4" i="30"/>
  <c r="O4" i="25" s="1"/>
  <c r="J15" i="30"/>
  <c r="J15" i="25" s="1"/>
  <c r="E10" i="42"/>
  <c r="F3" i="42"/>
  <c r="F11" i="41"/>
  <c r="F11" i="42" s="1"/>
  <c r="I11" i="41"/>
  <c r="I11" i="42" s="1"/>
  <c r="I4" i="42"/>
  <c r="I8" i="42"/>
  <c r="P9" i="42"/>
  <c r="I9" i="42"/>
  <c r="D8" i="42"/>
  <c r="P8" i="41"/>
  <c r="P8" i="42" s="1"/>
  <c r="I6" i="42"/>
  <c r="H4" i="30"/>
  <c r="H4" i="25" s="1"/>
  <c r="U3" i="25" l="1"/>
  <c r="U15" i="30"/>
  <c r="U15" i="25" s="1"/>
  <c r="N15" i="30"/>
  <c r="N15" i="25" s="1"/>
  <c r="H15" i="30"/>
  <c r="H15" i="25" s="1"/>
  <c r="H3" i="25"/>
  <c r="G15" i="30"/>
  <c r="G15" i="25" s="1"/>
  <c r="O3" i="25"/>
  <c r="O15" i="30"/>
  <c r="O15" i="25" s="1"/>
  <c r="P11" i="41"/>
  <c r="P11" i="42" s="1"/>
  <c r="D4" i="25"/>
  <c r="D4" i="30"/>
  <c r="D12" i="25"/>
  <c r="D12" i="30"/>
  <c r="D11" i="30"/>
  <c r="W4" i="25" l="1"/>
  <c r="X4" i="25"/>
  <c r="Y4" i="25"/>
  <c r="Z4" i="25"/>
  <c r="W5" i="25"/>
  <c r="X5" i="25"/>
  <c r="Y5" i="25"/>
  <c r="Z5" i="25"/>
  <c r="W6" i="25"/>
  <c r="X6" i="25"/>
  <c r="Y6" i="25"/>
  <c r="Z6" i="25"/>
  <c r="W7" i="25"/>
  <c r="X7" i="25"/>
  <c r="Y7" i="25"/>
  <c r="Z7" i="25"/>
  <c r="W8" i="25"/>
  <c r="X8" i="25"/>
  <c r="Y8" i="25"/>
  <c r="Z8" i="25"/>
  <c r="W9" i="25"/>
  <c r="X9" i="25"/>
  <c r="Y9" i="25"/>
  <c r="Z9" i="25"/>
  <c r="W10" i="25"/>
  <c r="X10" i="25"/>
  <c r="Y10" i="25"/>
  <c r="Z10" i="25"/>
  <c r="W11" i="25"/>
  <c r="X11" i="25"/>
  <c r="Y11" i="25"/>
  <c r="Z11" i="25"/>
  <c r="W12" i="25"/>
  <c r="X12" i="25"/>
  <c r="Y12" i="25"/>
  <c r="Z12" i="25"/>
  <c r="W13" i="25"/>
  <c r="X13" i="25"/>
  <c r="Y13" i="25"/>
  <c r="Z13" i="25"/>
  <c r="W14" i="25"/>
  <c r="X14" i="25"/>
  <c r="Y14" i="25"/>
  <c r="Z14" i="25"/>
  <c r="W3" i="25"/>
  <c r="X3" i="25"/>
  <c r="Y3" i="25"/>
  <c r="Z3" i="25"/>
  <c r="V4" i="25"/>
  <c r="V5" i="25"/>
  <c r="V6" i="25"/>
  <c r="V7" i="25"/>
  <c r="V8" i="25"/>
  <c r="V9" i="25"/>
  <c r="V10" i="25"/>
  <c r="V11" i="25"/>
  <c r="V12" i="25"/>
  <c r="V13" i="25"/>
  <c r="V14" i="25"/>
  <c r="V3" i="25"/>
  <c r="S4" i="25"/>
  <c r="P5" i="25"/>
  <c r="Q5" i="25"/>
  <c r="R5" i="25"/>
  <c r="S5" i="25"/>
  <c r="P6" i="25"/>
  <c r="Q6" i="25"/>
  <c r="R6" i="25"/>
  <c r="S6" i="25"/>
  <c r="P7" i="25"/>
  <c r="Q7" i="25"/>
  <c r="R7" i="25"/>
  <c r="S7" i="25"/>
  <c r="P8" i="25"/>
  <c r="Q8" i="25"/>
  <c r="R8" i="25"/>
  <c r="S8" i="25"/>
  <c r="P9" i="25"/>
  <c r="Q9" i="25"/>
  <c r="R9" i="25"/>
  <c r="S9" i="25"/>
  <c r="P10" i="25"/>
  <c r="Q10" i="25"/>
  <c r="R10" i="25"/>
  <c r="S10" i="25"/>
  <c r="P11" i="25"/>
  <c r="Q11" i="25"/>
  <c r="R11" i="25"/>
  <c r="S11" i="25"/>
  <c r="P13" i="25"/>
  <c r="Q13" i="25"/>
  <c r="R13" i="25"/>
  <c r="S13" i="25"/>
  <c r="Q3" i="25"/>
  <c r="R3" i="25"/>
  <c r="M4" i="25"/>
  <c r="J5" i="25"/>
  <c r="K5" i="25"/>
  <c r="L5" i="25"/>
  <c r="M5" i="25"/>
  <c r="N5" i="25"/>
  <c r="J6" i="25"/>
  <c r="K6" i="25"/>
  <c r="L6" i="25"/>
  <c r="M6" i="25"/>
  <c r="J7" i="25"/>
  <c r="K7" i="25"/>
  <c r="L7" i="25"/>
  <c r="M7" i="25"/>
  <c r="J8" i="25"/>
  <c r="K8" i="25"/>
  <c r="L8" i="25"/>
  <c r="M8" i="25"/>
  <c r="J9" i="25"/>
  <c r="K9" i="25"/>
  <c r="L9" i="25"/>
  <c r="M9" i="25"/>
  <c r="J10" i="25"/>
  <c r="K10" i="25"/>
  <c r="L10" i="25"/>
  <c r="M10" i="25"/>
  <c r="J11" i="25"/>
  <c r="K11" i="25"/>
  <c r="L11" i="25"/>
  <c r="M11" i="25"/>
  <c r="J13" i="25"/>
  <c r="K13" i="25"/>
  <c r="L13" i="25"/>
  <c r="M13" i="25"/>
  <c r="N13" i="25"/>
  <c r="K3" i="25"/>
  <c r="L3" i="25"/>
  <c r="J3" i="25"/>
  <c r="I4" i="25"/>
  <c r="I5" i="25"/>
  <c r="I6" i="25"/>
  <c r="I7" i="25"/>
  <c r="I8" i="25"/>
  <c r="I9" i="25"/>
  <c r="I10" i="25"/>
  <c r="I11" i="25"/>
  <c r="I13" i="25"/>
  <c r="G5" i="25"/>
  <c r="G13" i="25"/>
  <c r="D13" i="25"/>
  <c r="D11" i="25"/>
  <c r="D10" i="25"/>
  <c r="D9" i="25"/>
  <c r="D8" i="25"/>
  <c r="D7" i="25"/>
  <c r="D6" i="25"/>
  <c r="D5" i="25"/>
  <c r="T14" i="25"/>
  <c r="T12" i="25"/>
  <c r="T4" i="25"/>
  <c r="S14" i="25"/>
  <c r="S12" i="25"/>
  <c r="R14" i="25"/>
  <c r="R12" i="25"/>
  <c r="Q14" i="25"/>
  <c r="Q12" i="25"/>
  <c r="N12" i="25"/>
  <c r="N4" i="25"/>
  <c r="M14" i="25"/>
  <c r="M12" i="25"/>
  <c r="L14" i="25"/>
  <c r="L12" i="25"/>
  <c r="K14" i="25"/>
  <c r="K12" i="25"/>
  <c r="J14" i="25"/>
  <c r="J12" i="25"/>
  <c r="D13" i="30"/>
  <c r="M3" i="25" l="1"/>
  <c r="T8" i="25"/>
  <c r="T5" i="25"/>
  <c r="G4" i="25"/>
  <c r="I3" i="25"/>
  <c r="N8" i="25"/>
  <c r="J4" i="25"/>
  <c r="T13" i="25"/>
  <c r="Q4" i="25"/>
  <c r="N3" i="25"/>
  <c r="P4" i="25"/>
  <c r="I14" i="25"/>
  <c r="N10" i="25"/>
  <c r="T3" i="25"/>
  <c r="T10" i="25"/>
  <c r="G12" i="25"/>
  <c r="I12" i="25"/>
  <c r="S3" i="25"/>
  <c r="G11" i="25"/>
  <c r="N7" i="25"/>
  <c r="G10" i="25"/>
  <c r="T7" i="25"/>
  <c r="G9" i="25"/>
  <c r="N9" i="25"/>
  <c r="G8" i="25"/>
  <c r="T9" i="25"/>
  <c r="G7" i="25"/>
  <c r="N11" i="25"/>
  <c r="P12" i="25"/>
  <c r="G6" i="25"/>
  <c r="N6" i="25"/>
  <c r="L4" i="25"/>
  <c r="T11" i="25"/>
  <c r="K4" i="25"/>
  <c r="P14" i="25"/>
  <c r="T6" i="25"/>
  <c r="R4" i="25"/>
  <c r="D5" i="30" l="1"/>
  <c r="D6" i="30"/>
  <c r="D7" i="30"/>
  <c r="D8" i="30"/>
  <c r="D9" i="30"/>
  <c r="D10" i="30"/>
  <c r="B3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<sst xmlns="http://schemas.openxmlformats.org/spreadsheetml/2006/main" count="602" uniqueCount="339">
  <si>
    <t>#! END_ROW</t>
  </si>
  <si>
    <t>#! FOR_EACH w stats</t>
  </si>
  <si>
    <t>#! DUMP_COLS days</t>
  </si>
  <si>
    <t>#! DUMP_COLS w.actions</t>
  </si>
  <si>
    <t>#! CONTINUE w</t>
  </si>
  <si>
    <t>#! END_LOOP w</t>
  </si>
  <si>
    <t>#! DUMP_COLS subtitles</t>
  </si>
  <si>
    <t>#! FINISH</t>
  </si>
  <si>
    <t>#! DUMP_COLS days1</t>
  </si>
  <si>
    <t>#! FOR_EACH x stats1</t>
  </si>
  <si>
    <t>#! END_LOOP x</t>
  </si>
  <si>
    <t>#! DUMP_COLS x.actions</t>
  </si>
  <si>
    <t>#` ${arrondissement}</t>
  </si>
  <si>
    <t>Magistrats hors placés</t>
  </si>
  <si>
    <t>Magistrats placés additionnels</t>
  </si>
  <si>
    <t>Magistrats placés de substitution</t>
  </si>
  <si>
    <t>Fonctionnaires hors placés</t>
  </si>
  <si>
    <t>Fonctionnaires placés additionnels</t>
  </si>
  <si>
    <t>Fonctionnaires placés de substitution</t>
  </si>
  <si>
    <t>Code</t>
  </si>
  <si>
    <t>#! FOR_EACH y agregat</t>
  </si>
  <si>
    <t>#! END_LOOP y</t>
  </si>
  <si>
    <t>## y.sub</t>
  </si>
  <si>
    <t>## y.global</t>
  </si>
  <si>
    <t>Selectionner une juridiction</t>
  </si>
  <si>
    <t>Pour toute question, n'hésitez pas à contacter l'équipe A-JUST : support-utilisateurs@a-just.fr</t>
  </si>
  <si>
    <t>SIEGE</t>
  </si>
  <si>
    <t>GREFFE</t>
  </si>
  <si>
    <t>EQUIPE AUTOUR DU MAGISTRAT</t>
  </si>
  <si>
    <t>Contractuels et vacataires</t>
  </si>
  <si>
    <t>TOTAL SIEGE</t>
  </si>
  <si>
    <t>TOTAL GREFFE</t>
  </si>
  <si>
    <t>Juridiction</t>
  </si>
  <si>
    <t>TJ</t>
  </si>
  <si>
    <t>CPH</t>
  </si>
  <si>
    <t>TPROX</t>
  </si>
  <si>
    <t>JURISTE AS</t>
  </si>
  <si>
    <t>TOTAL ETPT</t>
  </si>
  <si>
    <t>Etpt placés de substitution</t>
  </si>
  <si>
    <t>166-PS-NC</t>
  </si>
  <si>
    <t>Etpt placés additionnels</t>
  </si>
  <si>
    <t>166-PA-NC</t>
  </si>
  <si>
    <t>Etpt autres personnels à reventiler (dont droit local,commercial- rcs, mise à disposition)</t>
  </si>
  <si>
    <t>166-NC-NC</t>
  </si>
  <si>
    <t>Action 99 - Personnel concourant au programme - à reventiler</t>
  </si>
  <si>
    <t>166-99-NC</t>
  </si>
  <si>
    <t>Action 8 - Support à l'accès au droit et à la justice</t>
  </si>
  <si>
    <t>166-08-NC</t>
  </si>
  <si>
    <t>Action 7 - Formation dispensée</t>
  </si>
  <si>
    <t>166-07-NC</t>
  </si>
  <si>
    <t>Action 6 - Soutien (Hors accueil du justiciable)</t>
  </si>
  <si>
    <t>166-06-NC</t>
  </si>
  <si>
    <t>Action 6 - Accueil du justiciable (inclus SAUJ)</t>
  </si>
  <si>
    <t>166-06-99</t>
  </si>
  <si>
    <t>Action 4 - Conseil supérieur de la magistrature</t>
  </si>
  <si>
    <t>166-04-NC</t>
  </si>
  <si>
    <t>Action 2 - Traitement et jugement des affaires pénales</t>
  </si>
  <si>
    <t>166-02-NC</t>
  </si>
  <si>
    <t>Action 1 - Traitement et jugement des contentieux civils</t>
  </si>
  <si>
    <t>166-01-NC</t>
  </si>
  <si>
    <t>Autres Magistrats du Parquet</t>
  </si>
  <si>
    <t>Magistrats du Parquet Cour criminelle</t>
  </si>
  <si>
    <t>Magistrats du Parquet assises</t>
  </si>
  <si>
    <t>Magistrats du Parquet - activité civile et commerciale</t>
  </si>
  <si>
    <t>Autres Magistrats du Siège non spécialisés</t>
  </si>
  <si>
    <t>Magistrats du siège Cour criminelle</t>
  </si>
  <si>
    <t>Magistrats du Siège assises</t>
  </si>
  <si>
    <t xml:space="preserve">Fonctionnaires hors fonctions spécifiques </t>
  </si>
  <si>
    <t>Fonctionnaires Cour criminelle</t>
  </si>
  <si>
    <t>Fonctionnaires Assises</t>
  </si>
  <si>
    <t>Fonctionnaires activité civile et commerciale du parquet</t>
  </si>
  <si>
    <t>Fonctionnaires Catégorie C Technique spécialisés</t>
  </si>
  <si>
    <t>Action</t>
  </si>
  <si>
    <t>Code sous action</t>
  </si>
  <si>
    <t>Code de la juridiction</t>
  </si>
  <si>
    <t>UO</t>
  </si>
  <si>
    <t>JUR_ASS_SIEGE</t>
  </si>
  <si>
    <t>JUR_ASS_PARQUET</t>
  </si>
  <si>
    <t>Total magistrats du parquet</t>
  </si>
  <si>
    <t>Total magistrats du siège non spécialisés</t>
  </si>
  <si>
    <t>Total fonctionnaires administratifs</t>
  </si>
  <si>
    <t>Total fonctionnaires techniques</t>
  </si>
  <si>
    <t xml:space="preserve">                Agrégats DDG</t>
  </si>
  <si>
    <t>CPH détachés</t>
  </si>
  <si>
    <t xml:space="preserve">  </t>
  </si>
  <si>
    <t>Bienvenue dans l'extraction de vos données d'effectifs !</t>
  </si>
  <si>
    <t>Nom de l'onglet</t>
  </si>
  <si>
    <t>Description rapide</t>
  </si>
  <si>
    <t>Usage</t>
  </si>
  <si>
    <t>Pour une présentation complète</t>
  </si>
  <si>
    <t>ETPT A-JUST</t>
  </si>
  <si>
    <t>Retrouvez le détail des ventilations individuelles de chaque agent, agrégées sur la période pour laquelle vous avez extrait les données, à l'identique de ce que vous avez renseigné dans A-JUST.</t>
  </si>
  <si>
    <t xml:space="preserve">Tout au long de l'année, consultez le détail des affectations de chaque agent, calculées en ETPT, pour la période choisie. </t>
  </si>
  <si>
    <t>ETPT Format DDG</t>
  </si>
  <si>
    <t xml:space="preserve">Vous y trouverez les données individuelles, retraitées conformément aux règles de calcul de la Chancellerie, en procédant à la réintégration de certaines indisponibilités considérées comme de l'absentéisme, ne déduisant pas d'ETPT. </t>
  </si>
  <si>
    <t>Afin de préparer la collecte de vos ETPT dans les matrices de la DSJ certaines précisions doivent être apportées dans cet onglet.</t>
  </si>
  <si>
    <t>Agrégats DDG</t>
  </si>
  <si>
    <t>N'hésitez pas à la consulter toute l'année, pour les périodes de votre choix.</t>
  </si>
  <si>
    <t>Ces données sont prérenseignées dans les tableaux de collecte des ETPT de la Chancellerie mais restent soumises à votre contrôle et éventuels ajustements avant transmission.</t>
  </si>
  <si>
    <r>
      <rPr>
        <b/>
        <sz val="11"/>
        <color theme="1"/>
        <rFont val="Calibri"/>
        <family val="2"/>
        <scheme val="minor"/>
      </rPr>
      <t>Ce fichier</t>
    </r>
    <r>
      <rPr>
        <sz val="11"/>
        <color theme="1"/>
        <rFont val="Calibri"/>
        <family val="2"/>
        <scheme val="minor"/>
      </rPr>
      <t>, permettant de remplir automatiquement les tableaux de collecte d'ETPT de la Chancellerie à partir des données A-JUST,</t>
    </r>
    <r>
      <rPr>
        <b/>
        <sz val="11"/>
        <color theme="1"/>
        <rFont val="Calibri"/>
        <family val="2"/>
        <scheme val="minor"/>
      </rPr>
      <t xml:space="preserve"> résulte de la collaboration de l'équipe de la start-up d'Etat A-JUST avec Mme Nathalie DE JONG</t>
    </r>
    <r>
      <rPr>
        <sz val="11"/>
        <color theme="1"/>
        <rFont val="Calibri"/>
        <family val="2"/>
        <scheme val="minor"/>
      </rPr>
      <t xml:space="preserve">, statisticienne du SAIR de la </t>
    </r>
    <r>
      <rPr>
        <b/>
        <sz val="11"/>
        <color theme="1"/>
        <rFont val="Calibri"/>
        <family val="2"/>
        <scheme val="minor"/>
      </rPr>
      <t>Cour d'Appel de LYON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Qu'elle soit ici vivement remerciée</t>
    </r>
    <r>
      <rPr>
        <sz val="11"/>
        <color theme="1"/>
        <rFont val="Calibri"/>
        <family val="2"/>
        <scheme val="minor"/>
      </rPr>
      <t xml:space="preserve">, ainsi que sa hiérarchie qui l'a autorisée à consacrer un temps aussi précieux qu'irremplaçable à écrire les formules de calcul permettant d'automatiser l'alimentation des tableaux DDG et faire ainsi gagner à nos utilisateurs un temps considérable chaque année. </t>
    </r>
  </si>
  <si>
    <t>#! HYPERLINK firstLink.label firstLink.url</t>
  </si>
  <si>
    <t>#! HYPERLINK secondLink.label secondLink.url</t>
  </si>
  <si>
    <t>#! HYPERLINK thirdLink.label thirdLink.url</t>
  </si>
  <si>
    <t>%age de l'ETPT</t>
  </si>
  <si>
    <t>## y.global1</t>
  </si>
  <si>
    <t>## y.sub1</t>
  </si>
  <si>
    <t>Ce fichier Excel a été extrait automatiquement de votre application A-JUST CA. Retrouvez ci-dessous quelques indications pour y naviguer en toute fluidité.</t>
  </si>
  <si>
    <t>DÉCLARATION ETPT CA JUR</t>
  </si>
  <si>
    <t>JUR_ASS_CH_SOC</t>
  </si>
  <si>
    <t>Fonctionnaires JIRS</t>
  </si>
  <si>
    <t>Fonctionnaires chambres sociales</t>
  </si>
  <si>
    <t>Autres Magistrats du Siège JIRS</t>
  </si>
  <si>
    <t>Magistrats du Siège chambres sociales</t>
  </si>
  <si>
    <t>ETPT_CA_JUR</t>
  </si>
  <si>
    <t>166-PN-NC</t>
  </si>
  <si>
    <t>Etpt placés absents non affectés</t>
  </si>
  <si>
    <t>Magistrats du Parquet JIRS</t>
  </si>
  <si>
    <t xml:space="preserve">                 Déclaration des ETPT CA</t>
  </si>
  <si>
    <t>Indisponibilité des placés à reporter sur le SAR, ligne "Etpt placés absents non affectés", colonne C-TECH</t>
  </si>
  <si>
    <t>Indisponibilité des placés à reporter sur le SAR, ligne "Etpt placés absents non affectés", colonne ABC-BUR</t>
  </si>
  <si>
    <t xml:space="preserve">                Déclaration des ETPT CA</t>
  </si>
  <si>
    <t>## f.category_label</t>
  </si>
  <si>
    <t>## f.label</t>
  </si>
  <si>
    <t>## f.code</t>
  </si>
  <si>
    <t>## f.position</t>
  </si>
  <si>
    <t>## f.category_detail</t>
  </si>
  <si>
    <t>## f.recodedFunction</t>
  </si>
  <si>
    <t>#! END_LOOP f</t>
  </si>
  <si>
    <t>#! FOR_EACH f fonctions</t>
  </si>
  <si>
    <t>=ETPT_CA_JUR!D5</t>
  </si>
  <si>
    <t>#! DUMP_COLS subtitles1</t>
  </si>
  <si>
    <t>CONCAT</t>
  </si>
  <si>
    <t>Catégorie</t>
  </si>
  <si>
    <t>Label</t>
  </si>
  <si>
    <t>Position</t>
  </si>
  <si>
    <t>Fonction recodée DDG</t>
  </si>
  <si>
    <t>Fonction onglet agrégat</t>
  </si>
  <si>
    <t>## f.CONCAT</t>
  </si>
  <si>
    <t>Total ETPT AJ_JA</t>
  </si>
  <si>
    <t>JA_CONT_A_JP</t>
  </si>
  <si>
    <t>JUR_ASS_TASS</t>
  </si>
  <si>
    <t>CONT_A_JP_VIF_PARQUET</t>
  </si>
  <si>
    <t>JUR_ASS_JAP</t>
  </si>
  <si>
    <t>JUR_ASS_JE</t>
  </si>
  <si>
    <t>JUR_ASS_JINST</t>
  </si>
  <si>
    <t>JUR_ASS_JLD</t>
  </si>
  <si>
    <t>Sous action</t>
  </si>
  <si>
    <t>ETPT de contractuels a j prox et a vif</t>
  </si>
  <si>
    <t>ETPT juristes assistants siège autres</t>
  </si>
  <si>
    <t>ETPT juristes assistants au parquet</t>
  </si>
  <si>
    <t>ETPT de contractuels a j prox et a vif au parquet</t>
  </si>
  <si>
    <r>
      <t xml:space="preserve">1. TOTAL CONTENTIEUX SOCIAL
</t>
    </r>
    <r>
      <rPr>
        <b/>
        <sz val="10"/>
        <color rgb="FF0070C0"/>
        <rFont val="Arial"/>
        <family val="2"/>
      </rPr>
      <t>Fonction recodée = Att.J/JA PARQUET + Att.J/JA SIEGE AUTRES + Att.J/JA SOCIAL</t>
    </r>
  </si>
  <si>
    <r>
      <t xml:space="preserve">1. TOTAL CONTENTIEUX SOCIAL + 2. TOTAL CONTENTIEUX COMMERCIAL + 3. TOTAL CONTENTIEUX DE LA FAMILLE + 4. TOTAL CONTENTIEUX DE LA PROTECTION + 5. TOTAL CONTENTIEUX CIVIL NON SPÉCIALISÉ + 12. TOTAL ATTRIBUTIONS DU PP - 12.5. EXTRADITIONS ET MAE - 12.6. SAISIES ET CONFISCATIONS DES AVOIRS CRIMINELS - 12.9. AUTRES APPELS JLD + 7.1. ACTIVITÉ CIVILE
</t>
    </r>
    <r>
      <rPr>
        <b/>
        <sz val="10"/>
        <color rgb="FF0070C0"/>
        <rFont val="Arial"/>
        <family val="2"/>
      </rPr>
      <t>Fonction recodée = CONT A JP SIEGE + CONT A VIF SIEGE + CONT A JP PARQUET + CONT A VIF PARQUET</t>
    </r>
  </si>
  <si>
    <r>
      <t xml:space="preserve">2. TOTAL CONTENTIEUX COMMERCIAL + 3. TOTAL CONTENTIEUX DE LA FAMILLE + 4. TOTAL CONTENTIEUX DE LA PROTECTION + 5. TOTAL CONTENTIEUX CIVIL NON SPÉCIALISÉ + 12. TOTAL ATTRIBUTIONS DU PP - 12.5. EXTRADITIONS ET MAE - 12.6. SAISIES ET CONFISCATIONS DES AVOIRS CRIMINELS - 12.9. AUTRES APPELS JLD  + 7.1. ACTIVITÉ CIVILE
</t>
    </r>
    <r>
      <rPr>
        <b/>
        <sz val="10"/>
        <color rgb="FF0070C0"/>
        <rFont val="Arial"/>
        <family val="2"/>
      </rPr>
      <t>Fonction recodée = Att.J/JA PARQUET + Att.J/JA SIEGE AUTRES + Att.J/JA SOCIAL</t>
    </r>
  </si>
  <si>
    <r>
      <t xml:space="preserve">13.9. FONCTIONNAIRES / JA AFFECTÉS AUX ACTIVITÉS CIVILES ET COMMERCIALES DU PARQUET GÉNÉRAL
</t>
    </r>
    <r>
      <rPr>
        <b/>
        <sz val="10"/>
        <color rgb="FF0070C0"/>
        <rFont val="Arial"/>
        <family val="2"/>
      </rPr>
      <t>Fonction recodée = Att.J/JA PARQUET + Att.J/JA SIEGE AUTRES + Att.J/JA SOCIAL</t>
    </r>
  </si>
  <si>
    <r>
      <t xml:space="preserve">13.9. FONCTIONNAIRES / JA AFFECTÉS AUX ACTIVITÉS CIVILES ET COMMERCIALES DU PARQUET GÉNÉRAL
</t>
    </r>
    <r>
      <rPr>
        <b/>
        <sz val="10"/>
        <color rgb="FF0070C0"/>
        <rFont val="Arial"/>
        <family val="2"/>
      </rPr>
      <t>Fonction recodée = CONT A JP SIEGE + CONT A VIF SIEGE + CONT A JP PARQUET + CONT A VIF PARQUET</t>
    </r>
  </si>
  <si>
    <r>
      <t xml:space="preserve">12.5. EXTRADITIONS ET MAE + 12.6. SAISIES ET CONFISCATIONS DES AVOIRS CRIMINELS + 12.9. AUTRES APPELS JLD + 7.2. ACTIVITÉ PÉNALE + 8. TOTAL CORRECTIONNEL + 9. TOTAL INSTRUCTION ET ENTRAIDE + 10. TOTAL APPLICATION DES PEINES + 11. TOTAL CONTENTIEUX CRIMINEL
</t>
    </r>
    <r>
      <rPr>
        <b/>
        <sz val="10"/>
        <color rgb="FF0070C0"/>
        <rFont val="Arial"/>
        <family val="2"/>
      </rPr>
      <t xml:space="preserve">
Fonction recodée = CONT A JP SIEGE + CONT A VIF SIEGE + CONT A JP PARQUET + CONT A VIF PARQUET</t>
    </r>
  </si>
  <si>
    <r>
      <t xml:space="preserve">12.5. EXTRADITIONS ET MAE + 12.6. SAISIES ET CONFISCATIONS DES AVOIRS CRIMINELS + 12.9. AUTRES APPELS JLD + 7.2. ACTIVITÉ PÉNALE + 8. TOTAL CORRECTIONNEL + 9. TOTAL INSTRUCTION ET ENTRAIDE + 10. TOTAL APPLICATION DES PEINES + 11. TOTAL CONTENTIEUX CRIMINEL
</t>
    </r>
    <r>
      <rPr>
        <b/>
        <sz val="10"/>
        <color rgb="FF0070C0"/>
        <rFont val="Arial"/>
        <family val="2"/>
      </rPr>
      <t>Fonction recodée = Att.J/JA PARQUET + Att.J/JA SIEGE AUTRES + Att.J/JA SOCIAL</t>
    </r>
  </si>
  <si>
    <r>
      <t xml:space="preserve">13.10. AUTRES FONCTIONNAIRES / JA AFFECTÉS AU PARQUET GÉNÉRAL
</t>
    </r>
    <r>
      <rPr>
        <b/>
        <sz val="10"/>
        <color rgb="FF0070C0"/>
        <rFont val="Arial"/>
        <family val="2"/>
      </rPr>
      <t>Fonction recodée = Att.J/JA PARQUET + Att.J/JA SIEGE AUTRES + Att.J/JA SOCIAL</t>
    </r>
  </si>
  <si>
    <r>
      <t xml:space="preserve">13.10. AUTRES FONCTIONNAIRES / JA AFFECTÉS AU PARQUET GÉNÉRAL
</t>
    </r>
    <r>
      <rPr>
        <b/>
        <sz val="10"/>
        <color rgb="FF0070C0"/>
        <rFont val="Arial"/>
        <family val="2"/>
      </rPr>
      <t>Fonction recodée = CONT A JP SIEGE + CONT A VIF SIEGE + CONT A JP PARQUET + CONT A VIF PARQUET</t>
    </r>
  </si>
  <si>
    <r>
      <t xml:space="preserve">13.8. ACCUEIL DU JUSTICIABLE
</t>
    </r>
    <r>
      <rPr>
        <b/>
        <sz val="10"/>
        <color rgb="FF0070C0"/>
        <rFont val="Arial"/>
        <family val="2"/>
      </rPr>
      <t>Fonction recodée = Att.J/JA SOCIAL</t>
    </r>
  </si>
  <si>
    <r>
      <t xml:space="preserve">13.8. ACCUEIL DU JUSTICIABLE
</t>
    </r>
    <r>
      <rPr>
        <b/>
        <sz val="10"/>
        <color rgb="FF0070C0"/>
        <rFont val="Arial"/>
        <family val="2"/>
      </rPr>
      <t>Fonction recodée = CONT A JP SIEGE + CONT A VIF SIEGE</t>
    </r>
  </si>
  <si>
    <r>
      <t xml:space="preserve">13.8. ACCUEIL DU JUSTICIABLE
</t>
    </r>
    <r>
      <rPr>
        <b/>
        <sz val="10"/>
        <color rgb="FF0070C0"/>
        <rFont val="Arial"/>
        <family val="2"/>
      </rPr>
      <t>Fonction recodée = Att.J/JA SIEGE AUTRES</t>
    </r>
  </si>
  <si>
    <r>
      <t xml:space="preserve">13.8. ACCUEIL DU JUSTICIABLE
</t>
    </r>
    <r>
      <rPr>
        <b/>
        <sz val="10"/>
        <color rgb="FF0070C0"/>
        <rFont val="Arial"/>
        <family val="2"/>
      </rPr>
      <t>Fonction recodée = Att.J/JA PARQUET</t>
    </r>
  </si>
  <si>
    <r>
      <t xml:space="preserve">13.8. ACCUEIL DU JUSTICIABLE
</t>
    </r>
    <r>
      <rPr>
        <b/>
        <sz val="10"/>
        <color rgb="FF0070C0"/>
        <rFont val="Arial"/>
        <family val="2"/>
      </rPr>
      <t>Fonction recodée = CONT A JP PARQUET + CONT A VIF PARQUET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</si>
  <si>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Fonction recodée = Att.J/JA SOCIAL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</si>
  <si>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Fonction recodée = CONT A JP SIEGE + CONT A VIF SIEGE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</si>
  <si>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 xml:space="preserve">Fonction recodée = Att.J/JA SIEGE AUTRES 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</si>
  <si>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Fonction recodée = Att.J/JA PARQUET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</si>
  <si>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Fonction recodée = CONT A JP PARQUET + CONT A VIF PARQUET</t>
    </r>
  </si>
  <si>
    <r>
      <t xml:space="preserve">13.3. FORMATIONS DISPENSÉES
</t>
    </r>
    <r>
      <rPr>
        <b/>
        <sz val="10"/>
        <color rgb="FF0070C0"/>
        <rFont val="Arial"/>
        <family val="2"/>
      </rPr>
      <t>Fonction recodée = Att.J/JA SOCIAL</t>
    </r>
  </si>
  <si>
    <r>
      <t xml:space="preserve">13.3. FORMATIONS DISPENSÉES
</t>
    </r>
    <r>
      <rPr>
        <b/>
        <sz val="10"/>
        <color rgb="FF0070C0"/>
        <rFont val="Arial"/>
        <family val="2"/>
      </rPr>
      <t>Fonction recodée = CONT A JP SIEGE + CONT A VIF SIEGE</t>
    </r>
  </si>
  <si>
    <r>
      <t xml:space="preserve">13.3. FORMATIONS DISPENSÉES
</t>
    </r>
    <r>
      <rPr>
        <b/>
        <sz val="10"/>
        <color rgb="FF0070C0"/>
        <rFont val="Arial"/>
        <family val="2"/>
      </rPr>
      <t>Fonction recodée = Att.J/JA SIEGE AUTRES</t>
    </r>
  </si>
  <si>
    <r>
      <t xml:space="preserve">13.3. FORMATIONS DISPENSÉES
</t>
    </r>
    <r>
      <rPr>
        <b/>
        <sz val="10"/>
        <color rgb="FF0070C0"/>
        <rFont val="Arial"/>
        <family val="2"/>
      </rPr>
      <t>Fonction recodée = Att.J/JA PARQUET</t>
    </r>
  </si>
  <si>
    <r>
      <t xml:space="preserve">13.3. FORMATIONS DISPENSÉES
</t>
    </r>
    <r>
      <rPr>
        <b/>
        <sz val="10"/>
        <color rgb="FF0070C0"/>
        <rFont val="Arial"/>
        <family val="2"/>
      </rPr>
      <t>Fonction recodée = CONT A JP PARQUET + CONT A VIF PARQUET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</si>
  <si>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Fonction recodée = Att.J/JA SOCIAL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</si>
  <si>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Fonction recodée = CONT A JP SIEGE + CONT A VIF SIEGE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</si>
  <si>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 xml:space="preserve">Fonction recodée = Att.J/JA SIEGE AUTRES 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</si>
  <si>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Fonction recodée = Att.J/JA PARQUET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</si>
  <si>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Fonction recodée = CONT A JP PARQUET + CONT A VIF PARQUET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</si>
  <si>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Fonction recodée = Att.J/JA SOCIAL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</si>
  <si>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Fonction recodée = CONT A JP SIEGE + CONT A VIF SIEGE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</si>
  <si>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Fonction recodée = Att.J/JA SIEGE AUTRES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</si>
  <si>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Fonction recodée = Att.J/JA PARQUET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</si>
  <si>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Fonction recodée = CONT A JP PARQUET + CONT A VIF PARQUET</t>
    </r>
  </si>
  <si>
    <r>
      <t xml:space="preserve">14.9. MISE À DISPOSITION 
</t>
    </r>
    <r>
      <rPr>
        <b/>
        <sz val="10"/>
        <color rgb="FF0070C0"/>
        <rFont val="Arial"/>
        <family val="2"/>
      </rPr>
      <t>Fonction recodée = Att.J/JA SOCIAL</t>
    </r>
  </si>
  <si>
    <r>
      <t xml:space="preserve">14.9. MISE À DISPOSITION 
</t>
    </r>
    <r>
      <rPr>
        <b/>
        <sz val="10"/>
        <color rgb="FF0070C0"/>
        <rFont val="Arial"/>
        <family val="2"/>
      </rPr>
      <t>Fonction recodée = CONT A JP SIEGE + CONT A VIF SIEGE</t>
    </r>
  </si>
  <si>
    <r>
      <t xml:space="preserve">14.9. MISE À DISPOSITION 
</t>
    </r>
    <r>
      <rPr>
        <b/>
        <sz val="10"/>
        <color rgb="FF0070C0"/>
        <rFont val="Arial"/>
        <family val="2"/>
      </rPr>
      <t xml:space="preserve">Fonction recodée = Att.J/JA SIEGE AUTRES </t>
    </r>
  </si>
  <si>
    <r>
      <t xml:space="preserve">14.9. MISE À DISPOSITION 
</t>
    </r>
    <r>
      <rPr>
        <b/>
        <sz val="10"/>
        <color rgb="FF0070C0"/>
        <rFont val="Arial"/>
        <family val="2"/>
      </rPr>
      <t>Fonction recodée = Att.J/JA PARQUET</t>
    </r>
  </si>
  <si>
    <r>
      <t xml:space="preserve">14.9. MISE À DISPOSITION 
</t>
    </r>
    <r>
      <rPr>
        <b/>
        <sz val="10"/>
        <color rgb="FF0070C0"/>
        <rFont val="Arial"/>
        <family val="2"/>
      </rPr>
      <t>Fonction recodée = CONT A JP PARQUET + CONT A VIF PARQUET</t>
    </r>
  </si>
  <si>
    <t>=$A$6</t>
  </si>
  <si>
    <t>=$A$7</t>
  </si>
  <si>
    <t>=$A$8</t>
  </si>
  <si>
    <t>=$A$9</t>
  </si>
  <si>
    <t>=$A$10</t>
  </si>
  <si>
    <t>=$A$11</t>
  </si>
  <si>
    <t>=$A$12</t>
  </si>
  <si>
    <r>
      <t xml:space="preserve">13.9. FONCTIONNAIRES / JA AFFECTÉS AUX ACTIVITÉS CIVILES ET COMMERCIALES DU PARQUET GÉNÉRAL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</si>
  <si>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1. TOTAL CONTENTIEUX SOCIAL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</si>
  <si>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2. TOTAL CONTENTIEUX COMMERCIAL + 3. TOTAL CONTENTIEUX DE LA FAMILLE + 4. TOTAL CONTENTIEUX DE LA PROTECTION + 5. TOTAL CONTENTIEUX CIVIL NON SPÉCIALISÉ + 12. TOTAL ATTRIBUTIONS DU PP - 12.5. EXTRADITIONS ET MAE - 12.6. SAISIES ET CONFISCATIONS DES AVOIRS CRIMINELS - 12.9. AUTRES APPELS JLD + 7.1. ACTIVITÉ CIVILE
</t>
    </r>
    <r>
      <rPr>
        <b/>
        <sz val="10"/>
        <color rgb="FF0070C0"/>
        <rFont val="Arial"/>
        <family val="2"/>
      </rPr>
      <t xml:space="preserve">
(Pour Fonction recodée = Fonctionnaire A-B-CBUR)</t>
    </r>
  </si>
  <si>
    <r>
      <t xml:space="preserve">1. TOTAL CONTENTIEUX SOCIAL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</si>
  <si>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2. TOTAL CONTENTIEUX COMMERCIAL + 3. TOTAL CONTENTIEUX DE LA FAMILLE + 4. TOTAL CONTENTIEUX DE LA PROTECTION + 5. TOTAL CONTENTIEUX CIVIL NON SPÉCIALISÉ + 12. TOTAL ATTRIBUTIONS DU PP - 12.5. EXTRADITIONS ET MAE - 12.6. SAISIES ET CONFISCATIONS DES AVOIRS CRIMINELS - 12.9. AUTRES APPELS JLD + 7.1. ACTIVITÉ CIVILE
</t>
    </r>
    <r>
      <rPr>
        <b/>
        <sz val="10"/>
        <color rgb="FF0070C0"/>
        <rFont val="Arial"/>
        <family val="2"/>
      </rPr>
      <t xml:space="preserve">
(Pour Fonction recodée = MAGISTRATS SIEGE)</t>
    </r>
  </si>
  <si>
    <r>
      <t xml:space="preserve">11.1. ASSISES HORS JIRS + 11.2 ASSISES JIRS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</si>
  <si>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11.3. COUR CRIMINELLE DÉPARTEMENTALE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</si>
  <si>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8.4. CONTENTIEUX JIRS CRIM-ORG + 8.7. CONTENTIEUX JIRS ÉCO-FI + 9.3. CONTENTIEUX DE LA DÉTENTION JIRS + 9.5. CONTENTIEUX DU CONTRÔLE JUDICIAIRE JIRS + 9.7. CONTENTIEUX DE FOND JIRS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</si>
  <si>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11.1. ASSISES HORS JIRS + 11.2 ASSISES JIRS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</si>
  <si>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11.3. COUR CRIMINELLE DÉPARTEMENTALE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</si>
  <si>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8.4. CONTENTIEUX JIRS CRIM-ORG + 8.7. CONTENTIEUX JIRS ÉCO-FI + 9.3. CONTENTIEUX DE LA DÉTENTION JIRS + 9.5. CONTENTIEUX DU CONTRÔLE JUDICIAIRE JIRS + 9.7. CONTENTIEUX DE FOND JIRS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</si>
  <si>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13.4 CSM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</si>
  <si>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13.8. ACCUEIL DU JUSTICIABLE
</t>
    </r>
    <r>
      <rPr>
        <b/>
        <sz val="10"/>
        <color rgb="FF0070C0"/>
        <rFont val="Arial"/>
        <family val="2"/>
      </rPr>
      <t>(Pour Fonction recodée = Fonctionnaire CTECH)</t>
    </r>
  </si>
  <si>
    <r>
      <t xml:space="preserve">13.8. ACCUEIL DU JUSTICIABLE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</si>
  <si>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13.8. ACCUEIL DU JUSTICIABLE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</si>
  <si>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(Pour Fonction recodée = Fonctionnaire CTECH)</t>
    </r>
    <r>
      <rPr>
        <sz val="10"/>
        <rFont val="Arial"/>
        <family val="2"/>
      </rPr>
      <t xml:space="preserve"> 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</si>
  <si>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</si>
  <si>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13.11. ACTIVITÉS EXTÉRIEURES ET PARTENARIATS + 13.13. COMMUNICATION + 13.12. ÉQUIPEMENT + 13.5. EXPERTISES (SUIVI ET LISTES) + 13.2. FORMATIONS SUIVIES + 13.6. MÉDIATION / CONCILIATION (SUIVI ET LISTES) + 13.14. POLITIQUE ASSOCIATIVE ET AIDE AUX VICTIMES + 13.1. SOUTIEN (AUTRES) + 13.15. AUTRES ACTIVITÉS NON JURIDICTIONNELLES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</si>
  <si>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13.3. FORMATIONS DISPENSÉES
</t>
    </r>
    <r>
      <rPr>
        <b/>
        <sz val="10"/>
        <color rgb="FF0070C0"/>
        <rFont val="Arial"/>
        <family val="2"/>
      </rPr>
      <t>(Pour Fonction recodée = Fonctionnaire CTECH)</t>
    </r>
  </si>
  <si>
    <r>
      <t xml:space="preserve">13.3. FORMATIONS DISPENSÉES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</si>
  <si>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13.3. FORMATIONS DISPENSÉES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</si>
  <si>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(Pour Fonction recodée = Fonctionnaire CTECH)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</si>
  <si>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</si>
  <si>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13.7. ACCÈS AU DROIT ET À LA JUSTICE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</si>
  <si>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(Pour Fonction recodée = Fonctionnaire CTECH)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</si>
  <si>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</si>
  <si>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14. TOTAL des INDISPONIBILITÉS relevant de l'action 99 - 14.9. MISE À DISPOSITION
</t>
    </r>
    <r>
      <rPr>
        <b/>
        <sz val="10"/>
        <color rgb="FF0070C0"/>
        <rFont val="Arial"/>
        <family val="2"/>
      </rPr>
      <t>(Pour Fonction recodée = MAGISTRATS SIEGE)</t>
    </r>
  </si>
  <si>
    <r>
      <t xml:space="preserve">14.9. MISE À DISPOSITION 
</t>
    </r>
    <r>
      <rPr>
        <b/>
        <sz val="10"/>
        <color rgb="FF0070C0"/>
        <rFont val="Arial"/>
        <family val="2"/>
      </rPr>
      <t>(Pour Fonction recodée = Fonctionnaire CTECH)</t>
    </r>
  </si>
  <si>
    <r>
      <t xml:space="preserve">14.9. MISE À DISPOSITION 
</t>
    </r>
    <r>
      <rPr>
        <b/>
        <sz val="10"/>
        <color rgb="FF0070C0"/>
        <rFont val="Arial"/>
        <family val="2"/>
      </rPr>
      <t>(Pour Fonction recodée = Fonctionnaire A-B-CBUR)</t>
    </r>
  </si>
  <si>
    <r>
      <t xml:space="preserve">14.9. MISE À DISPOSITION 
</t>
    </r>
    <r>
      <rPr>
        <b/>
        <sz val="10"/>
        <color rgb="FF0070C0"/>
        <rFont val="Arial"/>
        <family val="2"/>
      </rPr>
      <t>(Pour Fonction recodée = MAGISTRATS SIEGE)</t>
    </r>
  </si>
  <si>
    <r>
      <rPr>
        <b/>
        <sz val="10"/>
        <color rgb="FFFF0000"/>
        <rFont val="Arial"/>
        <family val="2"/>
      </rPr>
      <t>Temps ventilé sur la période A-JUST*</t>
    </r>
    <r>
      <rPr>
        <sz val="10"/>
        <rFont val="Arial"/>
        <family val="2"/>
      </rPr>
      <t xml:space="preserve"> (absentéisme et action 99 déduits)
</t>
    </r>
    <r>
      <rPr>
        <b/>
        <sz val="10"/>
        <color rgb="FF0070C0"/>
        <rFont val="Arial"/>
        <family val="2"/>
      </rPr>
      <t xml:space="preserve">(Pour Fonction recodée = Fonctionnaire CTECH placé ADD)
</t>
    </r>
    <r>
      <rPr>
        <sz val="10"/>
        <color rgb="FFFF0000"/>
        <rFont val="Arial"/>
        <family val="2"/>
      </rPr>
      <t>Temps ventilé sur la période A-JUST* = figurant dans l'onglet ETPT A-JUST</t>
    </r>
  </si>
  <si>
    <r>
      <rPr>
        <b/>
        <sz val="10"/>
        <color rgb="FFFF0000"/>
        <rFont val="Arial"/>
        <family val="2"/>
      </rPr>
      <t>13.9. FONCTIONNAIRES / JA AFFECTÉS AUX ACTIVITÉS CIVILES ET COMMERCIALES DU PARQUET GÉNÉRAL*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ADD)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</si>
  <si>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11.1. ASSISES HORS JIRS + 11.2 ASSISES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ADD)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</si>
  <si>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11.3. COUR CRIMINELLE DÉPARTEMENTALE*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ADD)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</si>
  <si>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8.4. CONTENTIEUX JIRS CRIM-ORG + 8.7. CONTENTIEUX JIRS ÉCO-FI + 9.3. CONTENTIEUX DE LA DÉTENTION JIRS + 9.5. CONTENTIEUX DU CONTRÔLE JUDICIAIRE JIRS + 9.7. CONTENTIEUX DE FOND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ADD)
</t>
    </r>
    <r>
      <rPr>
        <sz val="10"/>
        <color rgb="FFFF0000"/>
        <rFont val="Arial"/>
        <family val="2"/>
      </rPr>
      <t xml:space="preserve">
*figurant dans l'onglet ETPT A-JUST</t>
    </r>
  </si>
  <si>
    <r>
      <rPr>
        <b/>
        <sz val="10"/>
        <color rgb="FFFF0000"/>
        <rFont val="Arial"/>
        <family val="2"/>
      </rPr>
      <t>1. TOTAL CONTENTIEUX SOCIAL*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ADD)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</si>
  <si>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11.1. ASSISES HORS JIRS + 11.2 ASSISES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 placé ADD)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</si>
  <si>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11.3. COUR CRIMINELLE DÉPARTEMENTALE*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 placé ADD)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</si>
  <si>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8.4. CONTENTIEUX JIRS CRIM-ORG + 8.7. CONTENTIEUX JIRS ÉCO-FI + 9.3. CONTENTIEUX DE LA DÉTENTION JIRS + 9.5. CONTENTIEUX DU CONTRÔLE JUDICIAIRE JIRS + 9.7. CONTENTIEUX DE FOND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 placé ADD)
</t>
    </r>
    <r>
      <rPr>
        <sz val="10"/>
        <color rgb="FFFF0000"/>
        <rFont val="Arial"/>
        <family val="2"/>
      </rPr>
      <t xml:space="preserve">
*figurant dans l'onglet ETPT A-JUST</t>
    </r>
  </si>
  <si>
    <r>
      <rPr>
        <b/>
        <sz val="10"/>
        <color rgb="FFFF0000"/>
        <rFont val="Arial"/>
        <family val="2"/>
      </rPr>
      <t>1. TOTAL CONTENTIEUX SOCIAL*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 placé ADD)
</t>
    </r>
    <r>
      <rPr>
        <sz val="10"/>
        <color rgb="FFFF0000"/>
        <rFont val="Arial"/>
        <family val="2"/>
      </rPr>
      <t>*figurant dans l'onglet ETPT A-JUST</t>
    </r>
  </si>
  <si>
    <t>à reporter manuellement dans l'onglet SAR (cf infra ligne 18 = valeur de ce qui est saisi sur A-JUST CA)</t>
  </si>
  <si>
    <r>
      <rPr>
        <b/>
        <sz val="10"/>
        <color rgb="FFFF0000"/>
        <rFont val="Arial"/>
        <family val="2"/>
      </rPr>
      <t>Temps ventilé sur la période A-JUST*</t>
    </r>
    <r>
      <rPr>
        <sz val="10"/>
        <rFont val="Arial"/>
        <family val="2"/>
      </rPr>
      <t xml:space="preserve"> (absentéisme et action 99 déduits)
</t>
    </r>
    <r>
      <rPr>
        <b/>
        <sz val="10"/>
        <color rgb="FF0070C0"/>
        <rFont val="Arial"/>
        <family val="2"/>
      </rPr>
      <t xml:space="preserve">(Pour Fonction recodée = Fonctionnaire CTECH placé SUB)
</t>
    </r>
    <r>
      <rPr>
        <sz val="10"/>
        <color rgb="FFFF0000"/>
        <rFont val="Arial"/>
        <family val="2"/>
      </rPr>
      <t>Temps ventilé sur la période A-JUST* = l'ETPT figurant dans l'onglet ETPT A-JUST</t>
    </r>
  </si>
  <si>
    <r>
      <rPr>
        <b/>
        <sz val="10"/>
        <color rgb="FFFF0000"/>
        <rFont val="Arial"/>
        <family val="2"/>
      </rPr>
      <t>13.9. FONCTIONNAIRES / JA AFFECTÉS AUX ACTIVITÉS CIVILES ET COMMERCIALES DU PARQUET GÉNÉRAL*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SUB)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</si>
  <si>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11.1. ASSISES HORS JIRS + 11.2 ASSISES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SUB)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</si>
  <si>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11.3. COUR CRIMINELLE DÉPARTEMENTALE*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SUB)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</si>
  <si>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8.4. CONTENTIEUX JIRS CRIM-ORG + 8.7. CONTENTIEUX JIRS ÉCO-FI + 9.3. CONTENTIEUX DE LA DÉTENTION JIRS + 9.5. CONTENTIEUX DU CONTRÔLE JUDICIAIRE JIRS + 9.7. CONTENTIEUX DE FOND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SUB)
</t>
    </r>
    <r>
      <rPr>
        <sz val="10"/>
        <color rgb="FFFF0000"/>
        <rFont val="Arial"/>
        <family val="2"/>
      </rPr>
      <t xml:space="preserve">
*figurant dans l'onglet ETPT A-JUST</t>
    </r>
  </si>
  <si>
    <r>
      <rPr>
        <b/>
        <sz val="10"/>
        <color rgb="FFFF0000"/>
        <rFont val="Arial"/>
        <family val="2"/>
      </rPr>
      <t>1. TOTAL CONTENTIEUX SOCIAL*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Fonctionnaire A-B-CBUR placé SUB)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</si>
  <si>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 xml:space="preserve">Temps ventilé sur la période A-JUST* </t>
    </r>
    <r>
      <rPr>
        <sz val="10"/>
        <rFont val="Arial"/>
        <family val="2"/>
      </rPr>
      <t xml:space="preserve">(absentéisme et action 99 déduits)
</t>
    </r>
    <r>
      <rPr>
        <b/>
        <sz val="10"/>
        <rFont val="Arial"/>
        <family val="2"/>
      </rPr>
      <t>-</t>
    </r>
    <r>
      <rPr>
        <sz val="10"/>
        <rFont val="Arial"/>
        <family val="2"/>
      </rPr>
      <t xml:space="preserve">
SOMME (I14:M14)
</t>
    </r>
    <r>
      <rPr>
        <b/>
        <sz val="10"/>
        <color rgb="FF0070C0"/>
        <rFont val="Arial"/>
        <family val="2"/>
      </rPr>
      <t xml:space="preserve">(Pour Fonction recodée = Fonctionnaire A-B-CBUR placé SUB)
</t>
    </r>
    <r>
      <rPr>
        <sz val="10"/>
        <color rgb="FFFF0000"/>
        <rFont val="Arial"/>
        <family val="2"/>
      </rPr>
      <t>Temps ventilé sur la période A-JUST* = figurant dans l'onglet ETPT A-JUST</t>
    </r>
  </si>
  <si>
    <r>
      <rPr>
        <b/>
        <sz val="10"/>
        <color rgb="FFFF0000"/>
        <rFont val="Arial"/>
        <family val="2"/>
      </rPr>
      <t>11.1. ASSISES HORS JIRS + 11.2 ASSISES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MAGISTRATS SIEGE placé SUB)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</si>
  <si>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11.3. COUR CRIMINELLE DÉPARTEMENTALE*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MAGISTRATS SIEGE placé SUB))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</si>
  <si>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>8.4. CONTENTIEUX JIRS CRIM-ORG + 8.7. CONTENTIEUX JIRS ÉCO-FI + 9.3. CONTENTIEUX DE LA DÉTENTION JIRS + 9.5. CONTENTIEUX DU CONTRÔLE JUDICIAIRE JIRS + 9.7. CONTENTIEUX DE FOND JIRS*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MAGISTRATS SIEGE placé SUB)
</t>
    </r>
    <r>
      <rPr>
        <sz val="10"/>
        <color rgb="FFFF0000"/>
        <rFont val="Arial"/>
        <family val="2"/>
      </rPr>
      <t xml:space="preserve">
*figurant dans l'onglet ETPT A-JUST</t>
    </r>
  </si>
  <si>
    <r>
      <rPr>
        <b/>
        <sz val="10"/>
        <color rgb="FFFF0000"/>
        <rFont val="Arial"/>
        <family val="2"/>
      </rPr>
      <t>1. TOTAL CONTENTIEUX SOCIAL*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recodée = MAGISTRATS SIEGE placé SUB)
</t>
    </r>
    <r>
      <rPr>
        <sz val="10"/>
        <color rgb="FFFF0000"/>
        <rFont val="Arial"/>
        <family val="2"/>
      </rPr>
      <t>*figurant dans l'onglet ETPT A-JUST</t>
    </r>
  </si>
  <si>
    <r>
      <rPr>
        <b/>
        <sz val="10"/>
        <color rgb="FFFF0000"/>
        <rFont val="Arial"/>
        <family val="2"/>
      </rPr>
      <t xml:space="preserve">Temps ventilé sur la période A-JUST* </t>
    </r>
    <r>
      <rPr>
        <sz val="10"/>
        <rFont val="Arial"/>
        <family val="2"/>
      </rPr>
      <t xml:space="preserve">(absentéisme et action 99 déduits)
</t>
    </r>
    <r>
      <rPr>
        <b/>
        <sz val="10"/>
        <rFont val="Arial"/>
        <family val="2"/>
      </rPr>
      <t>-</t>
    </r>
    <r>
      <rPr>
        <sz val="10"/>
        <rFont val="Arial"/>
        <family val="2"/>
      </rPr>
      <t xml:space="preserve">
SOMME (P14:S14)
</t>
    </r>
    <r>
      <rPr>
        <b/>
        <sz val="10"/>
        <color rgb="FF0070C0"/>
        <rFont val="Arial"/>
        <family val="2"/>
      </rPr>
      <t xml:space="preserve">(Pour Fonction recodée = MAGISTRATS SIEGE placé SUB)
</t>
    </r>
    <r>
      <rPr>
        <sz val="10"/>
        <color rgb="FFFF0000"/>
        <rFont val="Arial"/>
        <family val="2"/>
      </rPr>
      <t>Temps ventilé sur la période A-JUST* = figurant dans l'onglet ETPT A-JUST</t>
    </r>
  </si>
  <si>
    <t>DÉCLARATION ETPT ATTACHES DE JUSTICE (JURISTES ASSISTANTS)</t>
  </si>
  <si>
    <t xml:space="preserve">                Extracteur de données d'effectifs</t>
  </si>
  <si>
    <t xml:space="preserve">                Déclaration des ETPT ATTACHÉS DE JUSTICE CA</t>
  </si>
  <si>
    <t>ETPT_ATTACHES_JUSTICE_DDG</t>
  </si>
  <si>
    <t>Les tableaux de la Chancellerie, préremplis grâce aux informations saisies dans A-JUST et aux précisions apportées dans l'onglet ETPT Format DDG.</t>
  </si>
  <si>
    <t>ETPT_CA_DDG</t>
  </si>
  <si>
    <t>Contractuels A J Prox et A VIF</t>
  </si>
  <si>
    <t>Contractuels A J Prox et A VIF au Parquet</t>
  </si>
  <si>
    <t>A</t>
  </si>
  <si>
    <t>=ETPT_CA_JUR_DDG!$D$5</t>
  </si>
  <si>
    <r>
      <t xml:space="preserve">1. TOTAL CONTENTIEUX SOCIAL + 2. TOTAL CONTENTIEUX COMMERCIAL + 3. TOTAL CONTENTIEUX DE LA FAMILLE + 4. TOTAL CONTENTIEUX DE LA PROTECTION + 5. TOTAL CONTENTIEUX CIVIL NON SPÉCIALISÉ + 12. TOTAL ATTRIBUTIONS DU PP - 12.5. EXTRADITIONS ET MAE - 12.6. SAISIES ET CONFISCATIONS DES AVOIRS CRIMINELS - 12.9. AUTRES APPELS JLD + 7.1. ACTIVITÉ CIVILE +  
13.9. FONCTIONNAIRES / JA AFFECTÉS AUX ACTIVITÉS CIVILES ET COMMERCIALES DU PARQUET GÉNÉRAL
</t>
    </r>
    <r>
      <rPr>
        <b/>
        <sz val="10"/>
        <color rgb="FF0070C0"/>
        <rFont val="Arial"/>
        <family val="2"/>
      </rPr>
      <t xml:space="preserve">
(Pour Fonction recodée = Fonctionnaire CTECH)</t>
    </r>
  </si>
  <si>
    <r>
      <t>12.5. EXTRADITIONS ET MAE + 12.6. SAISIES ET CONFISCATIONS DES AVOIRS CRIMINELS + 12.9. AUTRES APPELS JLD + 7.2. ACTIVITÉ PÉNALE + 8. TOTAL CORRECTIONNEL + 9. TOTAL INSTRUCTION ET ENTRAIDE + 10. TOTAL APPLICATION DES PEINES + 11. TOTAL CONTENTIEUX CRIMINEL + 13.10. AUTRES FONCTIONNAIRES / JA AFFECTÉS AU PARQUET GÉNÉRAL
(</t>
    </r>
    <r>
      <rPr>
        <b/>
        <sz val="10"/>
        <color rgb="FF0070C0"/>
        <rFont val="Arial"/>
        <family val="2"/>
      </rPr>
      <t>Pour Fonction recodée = Fonctionnaire CTECH</t>
    </r>
    <r>
      <rPr>
        <sz val="10"/>
        <rFont val="Arial"/>
        <family val="2"/>
      </rPr>
      <t>)</t>
    </r>
  </si>
  <si>
    <r>
      <rPr>
        <b/>
        <sz val="10"/>
        <color rgb="FFFF0000"/>
        <rFont val="Arial"/>
        <family val="2"/>
      </rPr>
      <t>14. TOTAL INDISPONIBILITÉ*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 recodee = Magistrat placé ADD + Magistrat placé SUB)
</t>
    </r>
    <r>
      <rPr>
        <sz val="10"/>
        <color rgb="FFFF0000"/>
        <rFont val="Arial"/>
        <family val="2"/>
      </rPr>
      <t xml:space="preserve">
*figurant dans l'onglet ETPT A-JUST, hors délégation TJ</t>
    </r>
  </si>
  <si>
    <r>
      <rPr>
        <b/>
        <sz val="10"/>
        <color rgb="FFFF0000"/>
        <rFont val="Arial"/>
        <family val="2"/>
      </rPr>
      <t>14. TOTAL INDISPONIBILITÉ*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 xml:space="preserve">(Pour Fonctions recodées = Fonctionnaire CTECH placé ADD  Fonctionnaire CTECH placé SUB)
</t>
    </r>
    <r>
      <rPr>
        <sz val="10"/>
        <color rgb="FFFF0000"/>
        <rFont val="Arial"/>
        <family val="2"/>
      </rPr>
      <t>*figurant dans l'onglet ETPT A-JUST, hors délégation TJ</t>
    </r>
  </si>
  <si>
    <r>
      <rPr>
        <b/>
        <sz val="10"/>
        <color rgb="FFFF0000"/>
        <rFont val="Arial"/>
        <family val="2"/>
      </rPr>
      <t>14. TOTAL INDISPONIBILITÉ*</t>
    </r>
    <r>
      <rPr>
        <sz val="10"/>
        <rFont val="Arial"/>
        <family val="2"/>
      </rPr>
      <t xml:space="preserve">
</t>
    </r>
    <r>
      <rPr>
        <b/>
        <sz val="10"/>
        <color rgb="FF0070C0"/>
        <rFont val="Arial"/>
        <family val="2"/>
      </rPr>
      <t>(Pour Fonctions recodées = Fonctionnaire A-B-CBUR placé ADD  ou Fonctionnaire A-B-CBUR placé SUB)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>*figurant dans l'onglet ETPT A-JUST, hors délégation TJ</t>
    </r>
  </si>
  <si>
    <t>Fonctionnaires Assises (inclus JIRS)</t>
  </si>
  <si>
    <t>Fonctionnaires JIRS (correctionnel)</t>
  </si>
  <si>
    <t>Magistrats du Siège assises (inclus JIRS)</t>
  </si>
  <si>
    <t>Autres Magistrats du Siège JIRS (correctionnel)</t>
  </si>
  <si>
    <t>ETPT juristes assistants chambres sociales (CA)</t>
  </si>
  <si>
    <t>ETPT juristes assistants pôle social (TJ)</t>
  </si>
  <si>
    <t>ETPT juristes assistants affectés aux JAP</t>
  </si>
  <si>
    <t>ETPT juristes assistants affectés aux JE</t>
  </si>
  <si>
    <t>ETPT juristes assistants affectés aux Juge d'instruction</t>
  </si>
  <si>
    <t>ETPT juristes assistants affectés aux JLD</t>
  </si>
  <si>
    <t>Cette synthèse présente les ETPT affectés, par catégorie d'agent, à chaque contentieux ou sous-contentieux, l'absentéisme étant réintégré comme dans l'onglet "ETPT Format DDG".</t>
  </si>
  <si>
    <t>Magistrats du Parquet JIRS (correctionnel)</t>
  </si>
  <si>
    <t>Magistrats du Parquet assises (inclus JIRS)</t>
  </si>
  <si>
    <r>
      <t xml:space="preserve">                  Extracteur de données d'effectifs - Format DDG (avec réintégration de l'absentéisme)
                  </t>
    </r>
    <r>
      <rPr>
        <b/>
        <sz val="14"/>
        <color rgb="FFFF0000"/>
        <rFont val="Calibri"/>
        <family val="2"/>
        <scheme val="minor"/>
      </rPr>
      <t>Les lignes en rouge invitent à des vérifications dans les colonnes R et S. Veillez à ne pas supprimer de ligne dans le tableau.</t>
    </r>
  </si>
  <si>
    <r>
      <t xml:space="preserve">12.5. EXTRADITIONS ET MAE + 12.6. SAISIES ET CONFISCATIONS DES AVOIRS CRIMINELS + 12.9. AUTRES APPELS JLD + 7.2. ACTIVITÉ PÉNALE + 8. TOTAL CORRECTIONNEL + 9. TOTAL INSTRUCTION ET ENTRAIDE + 10. TOTAL APPLICATION DES PEINES + 11. TOTAL CONTENTIEUX CRIMINEL + 13.10. AUTRES FONCTIONNAIRES / JA AFFECTÉS AU PARQUET GÉNÉRAL
-
SOMME (I4:M4)
</t>
    </r>
    <r>
      <rPr>
        <b/>
        <sz val="10"/>
        <color rgb="FF0070C0"/>
        <rFont val="Arial"/>
        <family val="2"/>
      </rPr>
      <t>(Pour Fonction recodée = Fonctionnaire A-B-CBUR)</t>
    </r>
  </si>
  <si>
    <r>
      <rPr>
        <b/>
        <sz val="10"/>
        <color rgb="FFFF0000"/>
        <rFont val="Arial"/>
        <family val="2"/>
      </rPr>
      <t xml:space="preserve">Temps ventilé sur la période A-JUST* </t>
    </r>
    <r>
      <rPr>
        <sz val="10"/>
        <rFont val="Arial"/>
        <family val="2"/>
      </rPr>
      <t xml:space="preserve">(absentéisme et action 99 déduits)
</t>
    </r>
    <r>
      <rPr>
        <b/>
        <sz val="10"/>
        <rFont val="Arial"/>
        <family val="2"/>
      </rPr>
      <t>-</t>
    </r>
    <r>
      <rPr>
        <sz val="10"/>
        <rFont val="Arial"/>
        <family val="2"/>
      </rPr>
      <t xml:space="preserve">
SOMME (I12:M12)
</t>
    </r>
    <r>
      <rPr>
        <b/>
        <sz val="10"/>
        <color rgb="FF0070C0"/>
        <rFont val="Arial"/>
        <family val="2"/>
      </rPr>
      <t xml:space="preserve">(Pour Fonction recodée = Fonctionnaire A-B-CBUR placé ADD)
</t>
    </r>
    <r>
      <rPr>
        <sz val="10"/>
        <color rgb="FFFF0000"/>
        <rFont val="Arial"/>
        <family val="2"/>
      </rPr>
      <t>Temps ventilé sur la période A-JUST* = figurant dans l'onglet ETPT A-JUST</t>
    </r>
  </si>
  <si>
    <r>
      <t xml:space="preserve">12.5. EXTRADITIONS ET MAE + 12.6. SAISIES ET CONFISCATIONS DES AVOIRS CRIMINELS + 12.9. AUTRES APPELS JLD + 7.2. ACTIVITÉ PÉNALE + 8. TOTAL CORRECTIONNEL + 9. TOTAL INSTRUCTION ET ENTRAIDE + 10. TOTAL APPLICATION DES PEINES + 11. TOTAL CONTENTIEUX CRIMINEL 
-
SOMME (P4:S4)
</t>
    </r>
    <r>
      <rPr>
        <b/>
        <sz val="10"/>
        <color rgb="FF0070C0"/>
        <rFont val="Arial"/>
        <family val="2"/>
      </rPr>
      <t>(Pour Fonction recodée = MAGISTRATS SIEGE)</t>
    </r>
  </si>
  <si>
    <r>
      <rPr>
        <b/>
        <sz val="10"/>
        <color rgb="FFFF0000"/>
        <rFont val="Arial"/>
        <family val="2"/>
      </rPr>
      <t xml:space="preserve">Temps ventilé sur la période A-JUST* </t>
    </r>
    <r>
      <rPr>
        <sz val="10"/>
        <rFont val="Arial"/>
        <family val="2"/>
      </rPr>
      <t xml:space="preserve">(absentéisme et action 99 déduits)
</t>
    </r>
    <r>
      <rPr>
        <b/>
        <sz val="10"/>
        <rFont val="Arial"/>
        <family val="2"/>
      </rPr>
      <t>-</t>
    </r>
    <r>
      <rPr>
        <sz val="10"/>
        <rFont val="Arial"/>
        <family val="2"/>
      </rPr>
      <t xml:space="preserve">
SOMME (P12:S12)
</t>
    </r>
    <r>
      <rPr>
        <b/>
        <sz val="10"/>
        <color rgb="FF0070C0"/>
        <rFont val="Arial"/>
        <family val="2"/>
      </rPr>
      <t xml:space="preserve">(Pour Fonction recodée = MAGISTRAT placé ADD)
</t>
    </r>
    <r>
      <rPr>
        <sz val="10"/>
        <color rgb="FFFF0000"/>
        <rFont val="Arial"/>
        <family val="2"/>
      </rPr>
      <t>Temps ventilé sur la période A-JUST* = figurant dans l'onglet ETPT A-JUST</t>
    </r>
  </si>
  <si>
    <t>Synthèse ETPT</t>
  </si>
  <si>
    <t>Réf.</t>
  </si>
  <si>
    <t>Nom/Prénom/Matricule</t>
  </si>
  <si>
    <t>Date d'arrivée</t>
  </si>
  <si>
    <t>Date de départ</t>
  </si>
  <si>
    <t>Date de début du segment</t>
  </si>
  <si>
    <t>Date de fin du segment</t>
  </si>
  <si>
    <t>Nombre jour ouvré sur période total extaction</t>
  </si>
  <si>
    <t>Nombre jour ouvré segment</t>
  </si>
  <si>
    <t xml:space="preserve">Ratio Jour : 
Nb jour ouvré segment /
Nb jour ouvré total </t>
  </si>
  <si>
    <t>Temps de travail en ETPT saisie</t>
  </si>
  <si>
    <t>Valeur de l'ETPT sur période total d'extraction (ETPT saisi x Ratio Jour)</t>
  </si>
  <si>
    <t>Indisponibilité saisie</t>
  </si>
  <si>
    <t>Valeur de l'indisponibilité sur la période total d'extraction (Indisponibilité saisie en%/100 x Ratio Jour)</t>
  </si>
  <si>
    <t>Nb jour ouvré CET sur toute la période d'extraction</t>
  </si>
  <si>
    <t>Valeur de l'absentéisme</t>
  </si>
  <si>
    <t>Valeur de l'action 99</t>
  </si>
  <si>
    <t>ETPT effectif sur la période total (ETPT- action 99 + absentéisme) x Ratio Jour</t>
  </si>
  <si>
    <t>#! FOR_EACH log ongletLogs</t>
  </si>
  <si>
    <t>## log.id</t>
  </si>
  <si>
    <t>## log.name</t>
  </si>
  <si>
    <t>## log.category</t>
  </si>
  <si>
    <t>## log.humanStart</t>
  </si>
  <si>
    <t>## log.humanEnd</t>
  </si>
  <si>
    <t>## log.main</t>
  </si>
  <si>
    <t>## log.periodStart</t>
  </si>
  <si>
    <t>## log.periodEnd</t>
  </si>
  <si>
    <t>## log.nbOfWorkingDaysQuery</t>
  </si>
  <si>
    <t>## log.workingDays</t>
  </si>
  <si>
    <t>## log.dayRate</t>
  </si>
  <si>
    <t>## log.filledEtp</t>
  </si>
  <si>
    <t>## log.queryEtpValue</t>
  </si>
  <si>
    <t>## log.totalIndispo</t>
  </si>
  <si>
    <t>## log.queryIndispoValue</t>
  </si>
  <si>
    <t>## log.cetDays</t>
  </si>
  <si>
    <t>## log.abs</t>
  </si>
  <si>
    <t>## log.action99</t>
  </si>
  <si>
    <t>## log.effectifEtp</t>
  </si>
  <si>
    <t>## log.logAccVentilation</t>
  </si>
  <si>
    <t>## log.ctx</t>
  </si>
  <si>
    <t>#! END_LOOP log</t>
  </si>
  <si>
    <t xml:space="preserve">     Détails de la ventilation (arrondi au millième) :</t>
  </si>
  <si>
    <t xml:space="preserve">                Synthèse ETPT</t>
  </si>
  <si>
    <t>ETPT global sur la période (incluant absentéisme et action 99)</t>
  </si>
  <si>
    <t>## log.etptGlobal</t>
  </si>
  <si>
    <t>ETPT ventilé</t>
  </si>
  <si>
    <t>Attachés de justice siège</t>
  </si>
  <si>
    <t>Attachés de justice siège affectés aux assises</t>
  </si>
  <si>
    <t>Attachés de justice siège affectés au CCD</t>
  </si>
  <si>
    <t>Attachés de justice parquet affectés aux assises</t>
  </si>
  <si>
    <t>Attachés de justice parquet affectés aux CDD</t>
  </si>
  <si>
    <t>Attachés de justice affectés aux JLD (pénal uniquement)</t>
  </si>
  <si>
    <t>Attachés de justice affectés aux JAP</t>
  </si>
  <si>
    <t>Attachés de justice affectés aux JE</t>
  </si>
  <si>
    <t>Attachés de justice affectés aux Juge d'instruction</t>
  </si>
  <si>
    <t>Attachés de justice au 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</si>
</sst>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-* #,##0.00_-;\-* #,##0.00_-;_-* &quot;-&quot;??_-;_-@_-"/>
    <numFmt numFmtId="166" formatCode="_-* #,##0.000_-;\-* #,##0.000_-;_-* &quot;-&quot;??_-;_-@_-"/>
    <numFmt numFmtId="167" formatCode="General;General;\-"/>
    <numFmt numFmtId="168" formatCode="0.###;0.###;\-"/>
    <numFmt numFmtId="169" formatCode="#,##0.00_ ;[Red]\-#,##0.00\ "/>
    <numFmt numFmtId="170" formatCode="0.0%"/>
    <numFmt numFmtId="171" formatCode="0.###"/>
  </numFmts>
  <fonts count="5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i/>
      <sz val="16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860000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b/>
      <sz val="7"/>
      <color rgb="FF000000"/>
      <name val="Arial"/>
      <family val="2"/>
    </font>
    <font>
      <b/>
      <u/>
      <sz val="7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333333"/>
      <name val="Arial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7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0"/>
      <color rgb="FF0070C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0"/>
      <color rgb="FF333333"/>
      <name val="Arial"/>
      <family val="2"/>
    </font>
    <font>
      <b/>
      <sz val="8"/>
      <color rgb="FF333333"/>
      <name val="Arial"/>
      <family val="2"/>
    </font>
    <font>
      <b/>
      <sz val="11"/>
      <color rgb="FF0070C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7"/>
      <color theme="1"/>
      <name val="Calibri"/>
      <family val="2"/>
      <scheme val="minor"/>
    </font>
    <font>
      <b/>
      <sz val="22"/>
      <color rgb="FFF2F2F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6"/>
      <color rgb="FFF2F2F2"/>
      <name val="Calibri"/>
      <family val="2"/>
      <scheme val="minor"/>
    </font>
    <font>
      <sz val="7"/>
      <color theme="1"/>
      <name val="Arial"/>
      <family val="2"/>
    </font>
    <font>
      <sz val="7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EFFF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rgb="FF333F4F"/>
        <bgColor indexed="64"/>
      </patternFill>
    </fill>
    <fill>
      <patternFill patternType="solid">
        <fgColor rgb="FFE64B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333F4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252"/>
        <bgColor indexed="64"/>
      </patternFill>
    </fill>
    <fill>
      <patternFill patternType="solid">
        <fgColor rgb="FFF7F02D"/>
        <bgColor indexed="64"/>
      </patternFill>
    </fill>
    <fill>
      <patternFill patternType="solid">
        <fgColor rgb="FFCCB1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333F4F"/>
      </left>
      <right/>
      <top style="medium">
        <color rgb="FF333F4F"/>
      </top>
      <bottom style="medium">
        <color rgb="FF333F4F"/>
      </bottom>
      <diagonal/>
    </border>
    <border>
      <left/>
      <right/>
      <top style="medium">
        <color rgb="FF333F4F"/>
      </top>
      <bottom style="medium">
        <color rgb="FF333F4F"/>
      </bottom>
      <diagonal/>
    </border>
    <border>
      <left/>
      <right/>
      <top style="medium">
        <color rgb="FF333F4F"/>
      </top>
      <bottom/>
      <diagonal/>
    </border>
    <border>
      <left/>
      <right style="medium">
        <color rgb="FF333F4F"/>
      </right>
      <top style="medium">
        <color rgb="FF333F4F"/>
      </top>
      <bottom/>
      <diagonal/>
    </border>
    <border>
      <left style="medium">
        <color rgb="FF333F4F"/>
      </left>
      <right/>
      <top/>
      <bottom style="thin">
        <color rgb="FF333F4F"/>
      </bottom>
      <diagonal/>
    </border>
    <border>
      <left/>
      <right/>
      <top/>
      <bottom style="thin">
        <color rgb="FF333F4F"/>
      </bottom>
      <diagonal/>
    </border>
    <border>
      <left style="medium">
        <color rgb="FF333F4F"/>
      </left>
      <right/>
      <top style="thin">
        <color rgb="FF333F4F"/>
      </top>
      <bottom style="thin">
        <color rgb="FF333F4F"/>
      </bottom>
      <diagonal/>
    </border>
    <border>
      <left/>
      <right/>
      <top style="thin">
        <color rgb="FF333F4F"/>
      </top>
      <bottom style="thin">
        <color rgb="FF333F4F"/>
      </bottom>
      <diagonal/>
    </border>
    <border>
      <left style="medium">
        <color rgb="FF333F4F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33F4F"/>
      </left>
      <right/>
      <top/>
      <bottom style="medium">
        <color rgb="FF333F4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333F4F"/>
      </right>
      <top/>
      <bottom style="medium">
        <color rgb="FF333F4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rgb="FF333F4F"/>
      </bottom>
      <diagonal/>
    </border>
    <border>
      <left/>
      <right/>
      <top style="thin">
        <color rgb="FF333F4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right" vertical="center"/>
    </xf>
    <xf numFmtId="0" fontId="5" fillId="3" borderId="0" xfId="0" applyFont="1" applyFill="1" applyAlignment="1">
      <alignment horizontal="right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66" fontId="3" fillId="0" borderId="3" xfId="3" applyNumberFormat="1" applyFont="1" applyBorder="1" applyAlignment="1">
      <alignment horizontal="center" vertical="center" wrapText="1"/>
    </xf>
    <xf numFmtId="166" fontId="3" fillId="0" borderId="4" xfId="3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wrapText="1"/>
    </xf>
    <xf numFmtId="0" fontId="8" fillId="4" borderId="0" xfId="0" applyFont="1" applyFill="1" applyAlignment="1">
      <alignment horizontal="center" vertical="center"/>
    </xf>
    <xf numFmtId="0" fontId="0" fillId="5" borderId="0" xfId="0" applyFill="1" applyAlignment="1">
      <alignment horizontal="left"/>
    </xf>
    <xf numFmtId="0" fontId="3" fillId="5" borderId="0" xfId="0" applyFont="1" applyFill="1" applyAlignment="1">
      <alignment horizontal="left"/>
    </xf>
    <xf numFmtId="166" fontId="3" fillId="0" borderId="0" xfId="3" applyNumberFormat="1" applyFont="1" applyBorder="1" applyAlignment="1">
      <alignment horizontal="center" vertical="center"/>
    </xf>
    <xf numFmtId="166" fontId="3" fillId="0" borderId="1" xfId="3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7" fontId="0" fillId="0" borderId="0" xfId="0" applyNumberFormat="1"/>
    <xf numFmtId="0" fontId="0" fillId="6" borderId="0" xfId="0" applyFill="1" applyAlignment="1">
      <alignment horizontal="center" vertical="center"/>
    </xf>
    <xf numFmtId="168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6" fillId="0" borderId="0" xfId="0" applyFont="1"/>
    <xf numFmtId="166" fontId="3" fillId="0" borderId="4" xfId="0" applyNumberFormat="1" applyFont="1" applyBorder="1" applyAlignment="1">
      <alignment horizontal="center" vertical="center" wrapText="1"/>
    </xf>
    <xf numFmtId="0" fontId="11" fillId="0" borderId="0" xfId="4" applyFont="1" applyProtection="1">
      <protection hidden="1"/>
    </xf>
    <xf numFmtId="0" fontId="12" fillId="0" borderId="0" xfId="4" applyFont="1" applyProtection="1">
      <protection locked="0"/>
    </xf>
    <xf numFmtId="49" fontId="12" fillId="0" borderId="0" xfId="4" applyNumberFormat="1" applyFont="1" applyAlignment="1" applyProtection="1">
      <alignment horizontal="left" vertical="center"/>
      <protection locked="0"/>
    </xf>
    <xf numFmtId="0" fontId="12" fillId="0" borderId="0" xfId="4" applyFont="1" applyAlignment="1" applyProtection="1">
      <alignment horizontal="left" vertical="center"/>
      <protection locked="0"/>
    </xf>
    <xf numFmtId="0" fontId="11" fillId="0" borderId="0" xfId="4" applyFont="1" applyAlignment="1" applyProtection="1">
      <alignment horizontal="left"/>
      <protection hidden="1"/>
    </xf>
    <xf numFmtId="0" fontId="13" fillId="0" borderId="0" xfId="4" applyFont="1" applyAlignment="1" applyProtection="1">
      <alignment horizontal="left"/>
      <protection hidden="1"/>
    </xf>
    <xf numFmtId="0" fontId="7" fillId="0" borderId="0" xfId="4" applyFont="1" applyAlignment="1">
      <alignment vertical="center" wrapText="1"/>
    </xf>
    <xf numFmtId="0" fontId="14" fillId="0" borderId="0" xfId="4" applyFont="1" applyAlignment="1">
      <alignment vertical="center" wrapText="1"/>
    </xf>
    <xf numFmtId="0" fontId="1" fillId="0" borderId="0" xfId="4" applyProtection="1">
      <protection hidden="1"/>
    </xf>
    <xf numFmtId="0" fontId="19" fillId="7" borderId="11" xfId="4" applyFont="1" applyFill="1" applyBorder="1" applyAlignment="1" applyProtection="1">
      <alignment horizontal="left" vertical="center"/>
      <protection hidden="1"/>
    </xf>
    <xf numFmtId="0" fontId="21" fillId="7" borderId="11" xfId="4" applyFont="1" applyFill="1" applyBorder="1" applyAlignment="1" applyProtection="1">
      <alignment horizontal="left" vertical="center"/>
      <protection hidden="1"/>
    </xf>
    <xf numFmtId="0" fontId="21" fillId="7" borderId="0" xfId="4" applyFont="1" applyFill="1" applyAlignment="1" applyProtection="1">
      <alignment horizontal="center" vertical="center"/>
      <protection hidden="1"/>
    </xf>
    <xf numFmtId="49" fontId="19" fillId="7" borderId="11" xfId="4" applyNumberFormat="1" applyFont="1" applyFill="1" applyBorder="1" applyAlignment="1" applyProtection="1">
      <alignment horizontal="left" vertical="center"/>
      <protection hidden="1"/>
    </xf>
    <xf numFmtId="49" fontId="19" fillId="7" borderId="0" xfId="4" applyNumberFormat="1" applyFont="1" applyFill="1" applyAlignment="1" applyProtection="1">
      <alignment horizontal="center" vertical="center"/>
      <protection hidden="1"/>
    </xf>
    <xf numFmtId="49" fontId="20" fillId="7" borderId="11" xfId="4" applyNumberFormat="1" applyFont="1" applyFill="1" applyBorder="1" applyAlignment="1" applyProtection="1">
      <alignment horizontal="center" vertical="center" wrapText="1"/>
      <protection hidden="1"/>
    </xf>
    <xf numFmtId="49" fontId="22" fillId="7" borderId="0" xfId="4" applyNumberFormat="1" applyFont="1" applyFill="1" applyAlignment="1" applyProtection="1">
      <alignment horizontal="center" vertical="center"/>
      <protection hidden="1"/>
    </xf>
    <xf numFmtId="49" fontId="23" fillId="10" borderId="11" xfId="4" applyNumberFormat="1" applyFont="1" applyFill="1" applyBorder="1" applyAlignment="1" applyProtection="1">
      <alignment horizontal="left" vertical="center"/>
      <protection hidden="1"/>
    </xf>
    <xf numFmtId="0" fontId="3" fillId="0" borderId="0" xfId="0" applyFont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6" fillId="11" borderId="0" xfId="0" applyFont="1" applyFill="1" applyAlignment="1">
      <alignment horizontal="right" wrapText="1"/>
    </xf>
    <xf numFmtId="0" fontId="26" fillId="11" borderId="0" xfId="0" applyFont="1" applyFill="1"/>
    <xf numFmtId="0" fontId="26" fillId="11" borderId="0" xfId="0" applyFont="1" applyFill="1" applyAlignment="1">
      <alignment horizontal="left" vertical="center" wrapText="1"/>
    </xf>
    <xf numFmtId="0" fontId="26" fillId="0" borderId="0" xfId="0" applyFont="1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right" vertical="center" wrapText="1"/>
    </xf>
    <xf numFmtId="0" fontId="9" fillId="11" borderId="13" xfId="0" quotePrefix="1" applyFont="1" applyFill="1" applyBorder="1" applyAlignment="1">
      <alignment horizontal="left" vertical="center" wrapText="1" indent="1"/>
    </xf>
    <xf numFmtId="0" fontId="9" fillId="11" borderId="14" xfId="0" applyFont="1" applyFill="1" applyBorder="1" applyAlignment="1">
      <alignment horizontal="left" vertical="center" wrapText="1" inden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right" vertical="top" wrapText="1"/>
    </xf>
    <xf numFmtId="0" fontId="25" fillId="3" borderId="0" xfId="0" applyFont="1" applyFill="1" applyAlignment="1">
      <alignment horizontal="left" vertical="center"/>
    </xf>
    <xf numFmtId="0" fontId="0" fillId="0" borderId="18" xfId="0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wrapText="1" indent="1"/>
    </xf>
    <xf numFmtId="0" fontId="0" fillId="0" borderId="26" xfId="0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quotePrefix="1" applyBorder="1" applyAlignment="1">
      <alignment vertical="top" wrapText="1"/>
    </xf>
    <xf numFmtId="0" fontId="29" fillId="12" borderId="17" xfId="0" applyFont="1" applyFill="1" applyBorder="1" applyAlignment="1">
      <alignment horizontal="left" vertical="center" wrapText="1" indent="1"/>
    </xf>
    <xf numFmtId="0" fontId="29" fillId="13" borderId="21" xfId="0" applyFont="1" applyFill="1" applyBorder="1" applyAlignment="1">
      <alignment horizontal="left" vertical="center" wrapText="1" indent="1"/>
    </xf>
    <xf numFmtId="169" fontId="17" fillId="8" borderId="11" xfId="0" applyNumberFormat="1" applyFont="1" applyFill="1" applyBorder="1"/>
    <xf numFmtId="0" fontId="30" fillId="7" borderId="11" xfId="0" applyFont="1" applyFill="1" applyBorder="1" applyAlignment="1">
      <alignment horizontal="center" vertical="center" wrapText="1"/>
    </xf>
    <xf numFmtId="169" fontId="33" fillId="9" borderId="11" xfId="0" applyNumberFormat="1" applyFont="1" applyFill="1" applyBorder="1" applyAlignment="1">
      <alignment horizontal="center" vertical="center" wrapText="1"/>
    </xf>
    <xf numFmtId="169" fontId="33" fillId="0" borderId="11" xfId="0" applyNumberFormat="1" applyFont="1" applyBorder="1" applyAlignment="1">
      <alignment horizontal="center" vertical="center" wrapText="1"/>
    </xf>
    <xf numFmtId="4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 wrapText="1"/>
    </xf>
    <xf numFmtId="166" fontId="35" fillId="0" borderId="2" xfId="0" applyNumberFormat="1" applyFont="1" applyBorder="1" applyAlignment="1">
      <alignment horizontal="center" vertical="center" wrapText="1"/>
    </xf>
    <xf numFmtId="170" fontId="35" fillId="0" borderId="0" xfId="3" applyNumberFormat="1" applyFont="1" applyBorder="1" applyAlignment="1">
      <alignment horizontal="center" vertical="center"/>
    </xf>
    <xf numFmtId="170" fontId="35" fillId="0" borderId="5" xfId="3" applyNumberFormat="1" applyFont="1" applyBorder="1" applyAlignment="1">
      <alignment horizontal="center" vertical="center"/>
    </xf>
    <xf numFmtId="166" fontId="35" fillId="0" borderId="4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/>
    <xf numFmtId="49" fontId="36" fillId="7" borderId="0" xfId="0" applyNumberFormat="1" applyFont="1" applyFill="1" applyAlignment="1">
      <alignment horizontal="center" vertical="center" wrapText="1"/>
    </xf>
    <xf numFmtId="49" fontId="36" fillId="7" borderId="11" xfId="0" applyNumberFormat="1" applyFont="1" applyFill="1" applyBorder="1" applyAlignment="1">
      <alignment horizontal="center" vertical="center" wrapText="1"/>
    </xf>
    <xf numFmtId="49" fontId="38" fillId="7" borderId="12" xfId="0" applyNumberFormat="1" applyFont="1" applyFill="1" applyBorder="1" applyAlignment="1">
      <alignment horizontal="left" vertical="center"/>
    </xf>
    <xf numFmtId="49" fontId="38" fillId="7" borderId="11" xfId="0" applyNumberFormat="1" applyFont="1" applyFill="1" applyBorder="1" applyAlignment="1">
      <alignment horizontal="left" vertical="center"/>
    </xf>
    <xf numFmtId="49" fontId="38" fillId="7" borderId="11" xfId="0" applyNumberFormat="1" applyFont="1" applyFill="1" applyBorder="1" applyAlignment="1">
      <alignment horizontal="left" vertical="center" wrapText="1"/>
    </xf>
    <xf numFmtId="49" fontId="40" fillId="0" borderId="11" xfId="0" applyNumberFormat="1" applyFont="1" applyBorder="1" applyAlignment="1">
      <alignment horizontal="left" vertical="center" wrapText="1"/>
    </xf>
    <xf numFmtId="169" fontId="30" fillId="0" borderId="11" xfId="0" applyNumberFormat="1" applyFont="1" applyBorder="1" applyAlignment="1">
      <alignment horizontal="center" vertical="center" wrapText="1"/>
    </xf>
    <xf numFmtId="0" fontId="38" fillId="7" borderId="12" xfId="0" applyFont="1" applyFill="1" applyBorder="1" applyAlignment="1">
      <alignment horizontal="left" vertical="center"/>
    </xf>
    <xf numFmtId="0" fontId="41" fillId="7" borderId="11" xfId="0" applyFont="1" applyFill="1" applyBorder="1" applyAlignment="1">
      <alignment horizontal="left" vertical="center"/>
    </xf>
    <xf numFmtId="49" fontId="41" fillId="7" borderId="11" xfId="0" applyNumberFormat="1" applyFont="1" applyFill="1" applyBorder="1" applyAlignment="1">
      <alignment horizontal="left" vertical="center"/>
    </xf>
    <xf numFmtId="49" fontId="42" fillId="8" borderId="11" xfId="0" applyNumberFormat="1" applyFont="1" applyFill="1" applyBorder="1" applyAlignment="1">
      <alignment horizontal="left" vertical="center" wrapText="1"/>
    </xf>
    <xf numFmtId="49" fontId="20" fillId="7" borderId="11" xfId="0" applyNumberFormat="1" applyFont="1" applyFill="1" applyBorder="1" applyAlignment="1">
      <alignment horizontal="center" vertical="center" wrapText="1"/>
    </xf>
    <xf numFmtId="49" fontId="19" fillId="7" borderId="11" xfId="0" applyNumberFormat="1" applyFont="1" applyFill="1" applyBorder="1" applyAlignment="1">
      <alignment horizontal="left" vertical="center"/>
    </xf>
    <xf numFmtId="0" fontId="17" fillId="7" borderId="11" xfId="0" applyFont="1" applyFill="1" applyBorder="1" applyAlignment="1">
      <alignment horizontal="left" vertical="center"/>
    </xf>
    <xf numFmtId="49" fontId="18" fillId="8" borderId="11" xfId="0" applyNumberFormat="1" applyFont="1" applyFill="1" applyBorder="1" applyAlignment="1">
      <alignment horizontal="left" vertical="center"/>
    </xf>
    <xf numFmtId="0" fontId="17" fillId="7" borderId="11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4" applyFont="1" applyAlignment="1">
      <alignment horizontal="center" vertical="center" wrapText="1"/>
    </xf>
    <xf numFmtId="0" fontId="17" fillId="7" borderId="11" xfId="1" applyFont="1" applyFill="1" applyBorder="1" applyAlignment="1">
      <alignment horizontal="center" vertical="center" wrapText="1"/>
    </xf>
    <xf numFmtId="49" fontId="43" fillId="7" borderId="11" xfId="1" applyNumberFormat="1" applyFont="1" applyFill="1" applyBorder="1" applyAlignment="1">
      <alignment horizontal="center" vertical="center" wrapText="1"/>
    </xf>
    <xf numFmtId="49" fontId="44" fillId="7" borderId="11" xfId="1" applyNumberFormat="1" applyFont="1" applyFill="1" applyBorder="1" applyAlignment="1">
      <alignment horizontal="center" vertical="center" wrapText="1"/>
    </xf>
    <xf numFmtId="0" fontId="30" fillId="7" borderId="11" xfId="1" applyFont="1" applyFill="1" applyBorder="1" applyAlignment="1">
      <alignment horizontal="center" vertical="center" wrapText="1"/>
    </xf>
    <xf numFmtId="49" fontId="19" fillId="7" borderId="11" xfId="1" applyNumberFormat="1" applyFont="1" applyFill="1" applyBorder="1" applyAlignment="1">
      <alignment horizontal="left" vertical="center"/>
    </xf>
    <xf numFmtId="49" fontId="21" fillId="7" borderId="11" xfId="1" applyNumberFormat="1" applyFont="1" applyFill="1" applyBorder="1" applyAlignment="1">
      <alignment horizontal="left" vertical="center"/>
    </xf>
    <xf numFmtId="49" fontId="2" fillId="7" borderId="11" xfId="1" applyNumberFormat="1" applyFill="1" applyBorder="1" applyAlignment="1">
      <alignment horizontal="left" vertical="center" wrapText="1"/>
    </xf>
    <xf numFmtId="169" fontId="11" fillId="14" borderId="11" xfId="0" applyNumberFormat="1" applyFont="1" applyFill="1" applyBorder="1" applyAlignment="1">
      <alignment horizontal="center" vertical="center" wrapText="1"/>
    </xf>
    <xf numFmtId="169" fontId="11" fillId="9" borderId="11" xfId="0" applyNumberFormat="1" applyFont="1" applyFill="1" applyBorder="1" applyAlignment="1">
      <alignment horizontal="center" vertical="center" wrapText="1"/>
    </xf>
    <xf numFmtId="169" fontId="20" fillId="15" borderId="11" xfId="1" applyNumberFormat="1" applyFont="1" applyFill="1" applyBorder="1"/>
    <xf numFmtId="49" fontId="31" fillId="8" borderId="11" xfId="1" applyNumberFormat="1" applyFont="1" applyFill="1" applyBorder="1" applyAlignment="1">
      <alignment horizontal="left" vertical="center" wrapText="1"/>
    </xf>
    <xf numFmtId="49" fontId="46" fillId="7" borderId="11" xfId="0" applyNumberFormat="1" applyFont="1" applyFill="1" applyBorder="1" applyAlignment="1">
      <alignment horizontal="left" vertical="center"/>
    </xf>
    <xf numFmtId="0" fontId="19" fillId="7" borderId="11" xfId="1" applyFont="1" applyFill="1" applyBorder="1" applyAlignment="1">
      <alignment horizontal="left" vertical="center"/>
    </xf>
    <xf numFmtId="0" fontId="16" fillId="7" borderId="0" xfId="1" applyFont="1" applyFill="1" applyAlignment="1">
      <alignment horizontal="left"/>
    </xf>
    <xf numFmtId="0" fontId="50" fillId="7" borderId="0" xfId="1" applyFont="1" applyFill="1" applyAlignment="1">
      <alignment horizontal="left" wrapText="1"/>
    </xf>
    <xf numFmtId="0" fontId="20" fillId="7" borderId="0" xfId="1" applyFont="1" applyFill="1" applyAlignment="1">
      <alignment horizontal="center" vertical="center" wrapText="1"/>
    </xf>
    <xf numFmtId="0" fontId="44" fillId="7" borderId="0" xfId="1" applyFont="1" applyFill="1" applyAlignment="1">
      <alignment horizontal="center" vertical="center" wrapText="1"/>
    </xf>
    <xf numFmtId="0" fontId="43" fillId="7" borderId="0" xfId="1" applyFont="1" applyFill="1" applyAlignment="1">
      <alignment horizontal="center" vertical="center" wrapText="1"/>
    </xf>
    <xf numFmtId="0" fontId="19" fillId="7" borderId="0" xfId="1" applyFont="1" applyFill="1" applyAlignment="1">
      <alignment horizontal="left" vertical="center"/>
    </xf>
    <xf numFmtId="49" fontId="19" fillId="7" borderId="0" xfId="1" applyNumberFormat="1" applyFont="1" applyFill="1" applyAlignment="1">
      <alignment horizontal="left" vertical="center"/>
    </xf>
    <xf numFmtId="0" fontId="21" fillId="7" borderId="0" xfId="1" applyFont="1" applyFill="1" applyAlignment="1">
      <alignment horizontal="left" vertical="center"/>
    </xf>
    <xf numFmtId="0" fontId="51" fillId="0" borderId="0" xfId="0" applyFont="1"/>
    <xf numFmtId="49" fontId="20" fillId="7" borderId="11" xfId="1" applyNumberFormat="1" applyFont="1" applyFill="1" applyBorder="1" applyAlignment="1">
      <alignment horizontal="center" vertical="center" wrapText="1"/>
    </xf>
    <xf numFmtId="0" fontId="18" fillId="8" borderId="11" xfId="1" applyFont="1" applyFill="1" applyBorder="1" applyAlignment="1">
      <alignment horizontal="center" vertical="center" wrapText="1"/>
    </xf>
    <xf numFmtId="0" fontId="18" fillId="8" borderId="29" xfId="1" applyFont="1" applyFill="1" applyBorder="1" applyAlignment="1">
      <alignment horizontal="center" vertical="center" wrapText="1"/>
    </xf>
    <xf numFmtId="0" fontId="52" fillId="16" borderId="0" xfId="0" applyFont="1" applyFill="1" applyAlignment="1">
      <alignment vertical="center"/>
    </xf>
    <xf numFmtId="0" fontId="54" fillId="16" borderId="0" xfId="0" applyFont="1" applyFill="1" applyAlignment="1">
      <alignment horizontal="right"/>
    </xf>
    <xf numFmtId="0" fontId="15" fillId="0" borderId="0" xfId="0" applyFont="1" applyAlignment="1">
      <alignment vertical="center"/>
    </xf>
    <xf numFmtId="0" fontId="55" fillId="0" borderId="0" xfId="4" applyFont="1" applyProtection="1">
      <protection hidden="1"/>
    </xf>
    <xf numFmtId="0" fontId="55" fillId="0" borderId="0" xfId="0" applyFont="1"/>
    <xf numFmtId="169" fontId="19" fillId="7" borderId="11" xfId="0" applyNumberFormat="1" applyFont="1" applyFill="1" applyBorder="1" applyAlignment="1">
      <alignment horizontal="right"/>
    </xf>
    <xf numFmtId="169" fontId="17" fillId="8" borderId="11" xfId="0" applyNumberFormat="1" applyFont="1" applyFill="1" applyBorder="1" applyAlignment="1">
      <alignment horizontal="right"/>
    </xf>
    <xf numFmtId="0" fontId="55" fillId="0" borderId="0" xfId="4" applyFont="1" applyAlignment="1" applyProtection="1">
      <alignment horizontal="right"/>
      <protection hidden="1"/>
    </xf>
    <xf numFmtId="0" fontId="55" fillId="0" borderId="0" xfId="0" applyFont="1" applyAlignment="1">
      <alignment horizontal="right"/>
    </xf>
    <xf numFmtId="169" fontId="56" fillId="9" borderId="11" xfId="0" applyNumberFormat="1" applyFont="1" applyFill="1" applyBorder="1" applyAlignment="1">
      <alignment horizontal="right" wrapText="1"/>
    </xf>
    <xf numFmtId="49" fontId="18" fillId="8" borderId="11" xfId="1" applyNumberFormat="1" applyFont="1" applyFill="1" applyBorder="1" applyAlignment="1">
      <alignment horizontal="left" vertical="center" wrapText="1"/>
    </xf>
    <xf numFmtId="169" fontId="20" fillId="15" borderId="11" xfId="1" applyNumberFormat="1" applyFont="1" applyFill="1" applyBorder="1" applyAlignment="1">
      <alignment horizontal="right"/>
    </xf>
    <xf numFmtId="169" fontId="19" fillId="7" borderId="11" xfId="0" applyNumberFormat="1" applyFont="1" applyFill="1" applyBorder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2" fillId="7" borderId="0" xfId="1" applyFill="1" applyAlignment="1">
      <alignment horizontal="left" vertical="center" wrapText="1"/>
    </xf>
    <xf numFmtId="169" fontId="20" fillId="7" borderId="0" xfId="1" applyNumberFormat="1" applyFont="1" applyFill="1"/>
    <xf numFmtId="0" fontId="2" fillId="0" borderId="0" xfId="1"/>
    <xf numFmtId="0" fontId="21" fillId="0" borderId="0" xfId="1" applyFont="1"/>
    <xf numFmtId="0" fontId="2" fillId="0" borderId="0" xfId="1" applyAlignment="1">
      <alignment wrapText="1"/>
    </xf>
    <xf numFmtId="0" fontId="55" fillId="0" borderId="11" xfId="4" applyFont="1" applyBorder="1" applyAlignment="1" applyProtection="1">
      <alignment horizontal="left" vertical="center"/>
      <protection hidden="1"/>
    </xf>
    <xf numFmtId="0" fontId="55" fillId="0" borderId="0" xfId="0" applyFont="1" applyAlignment="1">
      <alignment horizontal="right" vertical="center" wrapText="1" indent="1"/>
    </xf>
    <xf numFmtId="0" fontId="31" fillId="8" borderId="11" xfId="0" applyFont="1" applyFill="1" applyBorder="1" applyAlignment="1">
      <alignment horizontal="center" vertical="center" wrapText="1"/>
    </xf>
    <xf numFmtId="0" fontId="37" fillId="7" borderId="0" xfId="0" applyFont="1" applyFill="1" applyAlignment="1">
      <alignment horizontal="left" vertical="center" wrapText="1"/>
    </xf>
    <xf numFmtId="0" fontId="16" fillId="7" borderId="0" xfId="0" applyFont="1" applyFill="1" applyAlignment="1">
      <alignment horizontal="left" vertical="center"/>
    </xf>
    <xf numFmtId="169" fontId="34" fillId="0" borderId="11" xfId="0" applyNumberFormat="1" applyFont="1" applyBorder="1" applyAlignment="1">
      <alignment horizontal="center" wrapText="1"/>
    </xf>
    <xf numFmtId="169" fontId="33" fillId="0" borderId="11" xfId="0" applyNumberFormat="1" applyFont="1" applyBorder="1" applyAlignment="1">
      <alignment horizontal="center" wrapText="1"/>
    </xf>
    <xf numFmtId="169" fontId="32" fillId="0" borderId="11" xfId="0" applyNumberFormat="1" applyFont="1" applyBorder="1" applyAlignment="1">
      <alignment horizontal="center" vertical="center" wrapText="1"/>
    </xf>
    <xf numFmtId="169" fontId="34" fillId="0" borderId="11" xfId="0" applyNumberFormat="1" applyFont="1" applyBorder="1" applyAlignment="1">
      <alignment horizontal="center" vertical="center" wrapText="1"/>
    </xf>
    <xf numFmtId="169" fontId="30" fillId="0" borderId="11" xfId="0" applyNumberFormat="1" applyFont="1" applyBorder="1" applyAlignment="1">
      <alignment horizontal="center" vertical="center"/>
    </xf>
    <xf numFmtId="169" fontId="19" fillId="0" borderId="11" xfId="0" applyNumberFormat="1" applyFont="1" applyBorder="1"/>
    <xf numFmtId="169" fontId="11" fillId="0" borderId="11" xfId="0" applyNumberFormat="1" applyFont="1" applyBorder="1" applyAlignment="1">
      <alignment horizontal="center" vertical="center" wrapText="1"/>
    </xf>
    <xf numFmtId="169" fontId="45" fillId="0" borderId="11" xfId="1" applyNumberFormat="1" applyFont="1" applyBorder="1" applyAlignment="1">
      <alignment vertical="center" wrapText="1"/>
    </xf>
    <xf numFmtId="0" fontId="29" fillId="18" borderId="19" xfId="0" applyFont="1" applyFill="1" applyBorder="1" applyAlignment="1">
      <alignment horizontal="left" vertical="center" wrapText="1" indent="1"/>
    </xf>
    <xf numFmtId="0" fontId="3" fillId="19" borderId="19" xfId="0" applyFont="1" applyFill="1" applyBorder="1" applyAlignment="1">
      <alignment horizontal="left" vertical="center" wrapText="1" indent="1"/>
    </xf>
    <xf numFmtId="0" fontId="29" fillId="17" borderId="25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right" vertical="center" wrapText="1" indent="1"/>
    </xf>
    <xf numFmtId="0" fontId="3" fillId="5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3" fillId="21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71" fontId="15" fillId="0" borderId="0" xfId="0" applyNumberFormat="1" applyFont="1" applyAlignment="1">
      <alignment horizontal="left" vertical="center" wrapText="1"/>
    </xf>
    <xf numFmtId="171" fontId="0" fillId="0" borderId="0" xfId="0" applyNumberFormat="1" applyAlignment="1">
      <alignment horizontal="left" vertical="center"/>
    </xf>
    <xf numFmtId="1" fontId="15" fillId="0" borderId="0" xfId="0" applyNumberFormat="1" applyFont="1" applyAlignment="1">
      <alignment horizontal="left" vertical="center" wrapText="1"/>
    </xf>
    <xf numFmtId="9" fontId="0" fillId="0" borderId="0" xfId="0" applyNumberFormat="1" applyAlignment="1">
      <alignment horizontal="left" vertical="center"/>
    </xf>
    <xf numFmtId="169" fontId="11" fillId="0" borderId="0" xfId="0" applyNumberFormat="1" applyFont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25" fillId="11" borderId="0" xfId="0" applyFont="1" applyFill="1" applyAlignment="1">
      <alignment horizontal="center"/>
    </xf>
    <xf numFmtId="0" fontId="27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9" fillId="11" borderId="15" xfId="0" applyFont="1" applyFill="1" applyBorder="1" applyAlignment="1">
      <alignment horizontal="left" vertical="center" wrapText="1" indent="1"/>
    </xf>
    <xf numFmtId="0" fontId="9" fillId="11" borderId="16" xfId="0" applyFont="1" applyFill="1" applyBorder="1" applyAlignment="1">
      <alignment horizontal="left" vertical="center" wrapText="1" indent="1"/>
    </xf>
    <xf numFmtId="0" fontId="28" fillId="0" borderId="10" xfId="0" applyFont="1" applyBorder="1" applyAlignment="1">
      <alignment horizontal="left" vertical="center" wrapText="1" indent="1"/>
    </xf>
    <xf numFmtId="0" fontId="28" fillId="0" borderId="23" xfId="0" applyFont="1" applyBorder="1" applyAlignment="1">
      <alignment horizontal="left" vertical="center" wrapText="1" indent="1"/>
    </xf>
    <xf numFmtId="0" fontId="28" fillId="0" borderId="8" xfId="0" applyFont="1" applyBorder="1" applyAlignment="1">
      <alignment horizontal="left" vertical="center" wrapText="1" indent="1"/>
    </xf>
    <xf numFmtId="0" fontId="28" fillId="0" borderId="24" xfId="0" applyFont="1" applyBorder="1" applyAlignment="1">
      <alignment horizontal="left" vertical="center" wrapText="1" indent="1"/>
    </xf>
    <xf numFmtId="0" fontId="28" fillId="0" borderId="4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52" fillId="16" borderId="0" xfId="0" applyFont="1" applyFill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right" vertical="center" wrapText="1" indent="1"/>
    </xf>
    <xf numFmtId="0" fontId="0" fillId="0" borderId="12" xfId="0" applyBorder="1" applyAlignment="1">
      <alignment horizontal="right" vertical="center" wrapText="1" indent="1"/>
    </xf>
    <xf numFmtId="0" fontId="55" fillId="0" borderId="0" xfId="0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0" fillId="0" borderId="12" xfId="0" applyBorder="1" applyAlignment="1">
      <alignment horizontal="right" vertical="center" indent="1"/>
    </xf>
    <xf numFmtId="49" fontId="36" fillId="7" borderId="0" xfId="0" applyNumberFormat="1" applyFont="1" applyFill="1" applyAlignment="1">
      <alignment horizontal="left" vertical="center" wrapText="1"/>
    </xf>
    <xf numFmtId="49" fontId="44" fillId="7" borderId="0" xfId="1" applyNumberFormat="1" applyFont="1" applyFill="1" applyAlignment="1">
      <alignment vertical="center" wrapText="1"/>
    </xf>
    <xf numFmtId="0" fontId="18" fillId="8" borderId="11" xfId="1" applyFont="1" applyFill="1" applyBorder="1" applyAlignment="1">
      <alignment horizontal="center" vertical="center" wrapText="1"/>
    </xf>
  </cellXfs>
  <cellStyles count="6">
    <cellStyle name="Comma 2" xfId="2" xr:uid="{C877C5E8-FCBF-114F-9ECB-F75EF7C9C0EB}"/>
    <cellStyle name="Milliers" xfId="3" builtinId="3"/>
    <cellStyle name="Milliers 2" xfId="5" xr:uid="{C98A9282-6AC5-784B-80AA-54BB74A59302}"/>
    <cellStyle name="Normal" xfId="0" builtinId="0"/>
    <cellStyle name="Normal 2" xfId="1" xr:uid="{6FC886D6-2077-B34D-B1DF-739B068A66D1}"/>
    <cellStyle name="Normal 3" xfId="4" xr:uid="{6BD57324-3FD5-D341-A299-730D14794802}"/>
  </cellStyles>
  <dxfs count="23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CCB1EE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5" tint="0.79998168889431442"/>
          <bgColor theme="5" tint="0.79998168889431442"/>
        </patternFill>
      </fill>
      <border>
        <top style="thin">
          <color theme="1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5" tint="0.79998168889431442"/>
          <bgColor theme="5" tint="0.79998168889431442"/>
        </patternFill>
      </fill>
      <border>
        <top style="thin">
          <color theme="1"/>
        </top>
        <vertical/>
        <horizontal/>
      </border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F02D"/>
      <color rgb="FF00B252"/>
      <color rgb="FF323F4F"/>
      <color rgb="FF01A94F"/>
      <color rgb="FFF7EF2D"/>
      <color rgb="FFFE0000"/>
      <color rgb="FF0B0B97"/>
      <color rgb="FF2C45E0"/>
      <color rgb="FFCE4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632166</xdr:colOff>
      <xdr:row>10</xdr:row>
      <xdr:rowOff>199927</xdr:rowOff>
    </xdr:from>
    <xdr:ext cx="389621" cy="478116"/>
    <xdr:pic>
      <xdr:nvPicPr>
        <xdr:cNvPr id="2" name="Image 1" descr="Applause PNG Transparent Images - PNG All">
          <a:extLst>
            <a:ext uri="{FF2B5EF4-FFF2-40B4-BE49-F238E27FC236}">
              <a16:creationId xmlns:a16="http://schemas.microsoft.com/office/drawing/2014/main" id="{A725DBE8-FC47-BB4E-ACFF-F99368C8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57666" y="2282727"/>
          <a:ext cx="389621" cy="478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173580</xdr:colOff>
      <xdr:row>10</xdr:row>
      <xdr:rowOff>190844</xdr:rowOff>
    </xdr:from>
    <xdr:ext cx="513642" cy="428121"/>
    <xdr:pic>
      <xdr:nvPicPr>
        <xdr:cNvPr id="3" name="Image 2">
          <a:extLst>
            <a:ext uri="{FF2B5EF4-FFF2-40B4-BE49-F238E27FC236}">
              <a16:creationId xmlns:a16="http://schemas.microsoft.com/office/drawing/2014/main" id="{35047058-CEC0-0F4C-93C4-C25DC82BD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2015"/>
        <a:stretch/>
      </xdr:blipFill>
      <xdr:spPr>
        <a:xfrm>
          <a:off x="4301080" y="2286344"/>
          <a:ext cx="513642" cy="428121"/>
        </a:xfrm>
        <a:prstGeom prst="rect">
          <a:avLst/>
        </a:prstGeom>
      </xdr:spPr>
    </xdr:pic>
    <xdr:clientData/>
  </xdr:oneCellAnchor>
  <xdr:oneCellAnchor>
    <xdr:from>
      <xdr:col>1</xdr:col>
      <xdr:colOff>227016</xdr:colOff>
      <xdr:row>0</xdr:row>
      <xdr:rowOff>14635</xdr:rowOff>
    </xdr:from>
    <xdr:ext cx="960661" cy="902640"/>
    <xdr:pic>
      <xdr:nvPicPr>
        <xdr:cNvPr id="4" name="Picture 1">
          <a:extLst>
            <a:ext uri="{FF2B5EF4-FFF2-40B4-BE49-F238E27FC236}">
              <a16:creationId xmlns:a16="http://schemas.microsoft.com/office/drawing/2014/main" id="{2BAFB5E9-E271-8649-BC8B-F2629B6E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0595" y="14635"/>
          <a:ext cx="960661" cy="9026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114300</xdr:rowOff>
    </xdr:from>
    <xdr:to>
      <xdr:col>0</xdr:col>
      <xdr:colOff>1024181</xdr:colOff>
      <xdr:row>0</xdr:row>
      <xdr:rowOff>991755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00CB949-2C41-BC40-9E1C-48016E978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14300"/>
          <a:ext cx="960681" cy="877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184150</xdr:colOff>
      <xdr:row>0</xdr:row>
      <xdr:rowOff>114300</xdr:rowOff>
    </xdr:from>
    <xdr:to>
      <xdr:col>4</xdr:col>
      <xdr:colOff>127000</xdr:colOff>
      <xdr:row>0</xdr:row>
      <xdr:rowOff>991755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E8107687-4D43-7C45-8E7C-9C39DEC02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114300"/>
          <a:ext cx="1536700" cy="877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0</xdr:row>
      <xdr:rowOff>114300</xdr:rowOff>
    </xdr:from>
    <xdr:to>
      <xdr:col>3</xdr:col>
      <xdr:colOff>1024181</xdr:colOff>
      <xdr:row>0</xdr:row>
      <xdr:rowOff>991755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7C828F4-E4EA-0F4C-9C9B-2B93696D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14300"/>
          <a:ext cx="960681" cy="877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88900</xdr:colOff>
      <xdr:row>0</xdr:row>
      <xdr:rowOff>55033</xdr:rowOff>
    </xdr:from>
    <xdr:to>
      <xdr:col>4</xdr:col>
      <xdr:colOff>20881</xdr:colOff>
      <xdr:row>0</xdr:row>
      <xdr:rowOff>932488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8DBCC5E3-38D9-8842-9253-F2769D545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55033"/>
          <a:ext cx="960681" cy="877455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0</xdr:row>
      <xdr:rowOff>55033</xdr:rowOff>
    </xdr:from>
    <xdr:to>
      <xdr:col>4</xdr:col>
      <xdr:colOff>20881</xdr:colOff>
      <xdr:row>0</xdr:row>
      <xdr:rowOff>932488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69D7775-E2A7-A042-94CA-1FE6F5EF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00" y="55033"/>
          <a:ext cx="960681" cy="877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0</xdr:row>
      <xdr:rowOff>114300</xdr:rowOff>
    </xdr:from>
    <xdr:to>
      <xdr:col>3</xdr:col>
      <xdr:colOff>1024181</xdr:colOff>
      <xdr:row>0</xdr:row>
      <xdr:rowOff>991755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46D70BA2-E4A9-6445-9319-3BF8B9BE0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14300"/>
          <a:ext cx="960681" cy="877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131888</xdr:colOff>
      <xdr:row>0</xdr:row>
      <xdr:rowOff>877455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F33C59A2-B67D-014C-B49A-4D10C7C6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7388" cy="877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114300</xdr:rowOff>
    </xdr:from>
    <xdr:to>
      <xdr:col>0</xdr:col>
      <xdr:colOff>1024181</xdr:colOff>
      <xdr:row>0</xdr:row>
      <xdr:rowOff>991755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BC21BD4C-AAD0-2340-A0BA-39B3221B9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14300"/>
          <a:ext cx="960681" cy="877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9B09-C60F-334A-AD8D-3CC1EC8DED35}">
  <sheetPr>
    <tabColor rgb="FF002060"/>
  </sheetPr>
  <dimension ref="A1:H14"/>
  <sheetViews>
    <sheetView showGridLines="0" zoomScale="78" zoomScaleNormal="78" workbookViewId="0">
      <selection activeCell="E5" sqref="E5:F5"/>
    </sheetView>
  </sheetViews>
  <sheetFormatPr baseColWidth="10" defaultColWidth="10.83203125" defaultRowHeight="15" x14ac:dyDescent="0.2"/>
  <cols>
    <col min="1" max="1" width="1.1640625" style="21" customWidth="1"/>
    <col min="2" max="2" width="29.83203125" style="21" customWidth="1"/>
    <col min="3" max="3" width="102.1640625" style="21" customWidth="1"/>
    <col min="4" max="4" width="56.33203125" style="21" customWidth="1"/>
    <col min="5" max="5" width="14" style="21" customWidth="1"/>
    <col min="6" max="6" width="24.33203125" style="55" customWidth="1"/>
    <col min="7" max="7" width="10.83203125" style="21" customWidth="1"/>
    <col min="8" max="16384" width="10.83203125" style="21"/>
  </cols>
  <sheetData>
    <row r="1" spans="1:8" s="26" customFormat="1" ht="60" customHeight="1" x14ac:dyDescent="0.35">
      <c r="A1" s="47"/>
      <c r="B1" s="48" t="s">
        <v>84</v>
      </c>
      <c r="C1" s="181" t="s">
        <v>85</v>
      </c>
      <c r="D1" s="181"/>
      <c r="E1" s="181"/>
      <c r="F1" s="49"/>
      <c r="H1" s="26" t="s">
        <v>0</v>
      </c>
    </row>
    <row r="2" spans="1:8" s="53" customFormat="1" ht="20" customHeight="1" x14ac:dyDescent="0.2">
      <c r="A2" s="50"/>
      <c r="B2" s="51"/>
      <c r="C2" s="182" t="s">
        <v>106</v>
      </c>
      <c r="D2" s="182"/>
      <c r="E2" s="182"/>
      <c r="F2" s="52"/>
      <c r="H2" s="26" t="s">
        <v>0</v>
      </c>
    </row>
    <row r="3" spans="1:8" s="26" customFormat="1" ht="6.5" customHeight="1" thickBot="1" x14ac:dyDescent="0.25">
      <c r="A3" s="54"/>
      <c r="F3" s="55"/>
      <c r="H3" s="26" t="s">
        <v>0</v>
      </c>
    </row>
    <row r="4" spans="1:8" s="59" customFormat="1" ht="32.25" customHeight="1" thickBot="1" x14ac:dyDescent="0.25">
      <c r="A4" s="56"/>
      <c r="B4" s="57" t="s">
        <v>86</v>
      </c>
      <c r="C4" s="58" t="s">
        <v>87</v>
      </c>
      <c r="D4" s="58" t="s">
        <v>88</v>
      </c>
      <c r="E4" s="186" t="s">
        <v>89</v>
      </c>
      <c r="F4" s="187"/>
      <c r="G4" s="65"/>
      <c r="H4" s="26" t="s">
        <v>0</v>
      </c>
    </row>
    <row r="5" spans="1:8" s="26" customFormat="1" ht="48" customHeight="1" x14ac:dyDescent="0.2">
      <c r="A5" s="54"/>
      <c r="B5" s="69" t="s">
        <v>90</v>
      </c>
      <c r="C5" s="62" t="s">
        <v>91</v>
      </c>
      <c r="D5" s="62" t="s">
        <v>92</v>
      </c>
      <c r="E5" s="188" t="s">
        <v>100</v>
      </c>
      <c r="F5" s="189"/>
      <c r="G5" s="64"/>
      <c r="H5" s="26" t="s">
        <v>0</v>
      </c>
    </row>
    <row r="6" spans="1:8" s="26" customFormat="1" ht="48" customHeight="1" x14ac:dyDescent="0.2">
      <c r="A6" s="54"/>
      <c r="B6" s="162" t="s">
        <v>93</v>
      </c>
      <c r="C6" s="63" t="s">
        <v>94</v>
      </c>
      <c r="D6" s="63" t="s">
        <v>95</v>
      </c>
      <c r="E6" s="190" t="s">
        <v>101</v>
      </c>
      <c r="F6" s="191"/>
      <c r="G6" s="64"/>
      <c r="H6" s="26" t="s">
        <v>0</v>
      </c>
    </row>
    <row r="7" spans="1:8" s="26" customFormat="1" ht="48" customHeight="1" x14ac:dyDescent="0.2">
      <c r="A7" s="54"/>
      <c r="B7" s="163" t="s">
        <v>283</v>
      </c>
      <c r="C7" s="63" t="s">
        <v>275</v>
      </c>
      <c r="D7" s="63" t="s">
        <v>97</v>
      </c>
      <c r="E7" s="190" t="s">
        <v>100</v>
      </c>
      <c r="F7" s="191"/>
      <c r="G7" s="64"/>
      <c r="H7" s="26" t="s">
        <v>0</v>
      </c>
    </row>
    <row r="8" spans="1:8" s="26" customFormat="1" ht="29" customHeight="1" x14ac:dyDescent="0.2">
      <c r="A8" s="54"/>
      <c r="B8" s="70" t="s">
        <v>255</v>
      </c>
      <c r="C8" s="179" t="s">
        <v>254</v>
      </c>
      <c r="D8" s="179" t="s">
        <v>98</v>
      </c>
      <c r="E8" s="192" t="s">
        <v>102</v>
      </c>
      <c r="F8" s="193"/>
      <c r="G8" s="64"/>
      <c r="H8" s="26" t="s">
        <v>0</v>
      </c>
    </row>
    <row r="9" spans="1:8" s="26" customFormat="1" ht="29" customHeight="1" thickBot="1" x14ac:dyDescent="0.25">
      <c r="A9" s="54"/>
      <c r="B9" s="164" t="s">
        <v>253</v>
      </c>
      <c r="C9" s="180"/>
      <c r="D9" s="180"/>
      <c r="E9" s="180"/>
      <c r="F9" s="180"/>
      <c r="G9" s="64"/>
      <c r="H9" s="26" t="s">
        <v>0</v>
      </c>
    </row>
    <row r="10" spans="1:8" s="26" customFormat="1" ht="5" customHeight="1" thickBot="1" x14ac:dyDescent="0.25">
      <c r="A10" s="54"/>
      <c r="B10" s="68"/>
      <c r="C10" s="68"/>
      <c r="D10" s="68"/>
      <c r="E10" s="68"/>
      <c r="F10" s="68"/>
      <c r="H10" s="26" t="s">
        <v>0</v>
      </c>
    </row>
    <row r="11" spans="1:8" s="26" customFormat="1" ht="72" customHeight="1" thickBot="1" x14ac:dyDescent="0.25">
      <c r="A11" s="54"/>
      <c r="B11" s="66"/>
      <c r="C11" s="185" t="s">
        <v>99</v>
      </c>
      <c r="D11" s="185"/>
      <c r="E11" s="185"/>
      <c r="F11" s="67"/>
      <c r="H11" s="26" t="s">
        <v>0</v>
      </c>
    </row>
    <row r="12" spans="1:8" s="26" customFormat="1" ht="6" customHeight="1" x14ac:dyDescent="0.2">
      <c r="A12" s="60"/>
      <c r="F12" s="55"/>
      <c r="H12" s="26" t="s">
        <v>0</v>
      </c>
    </row>
    <row r="13" spans="1:8" s="26" customFormat="1" ht="27" customHeight="1" x14ac:dyDescent="0.2">
      <c r="A13" s="183" t="s">
        <v>25</v>
      </c>
      <c r="B13" s="183"/>
      <c r="C13" s="183"/>
      <c r="D13" s="183"/>
      <c r="E13" s="183"/>
      <c r="F13" s="184"/>
      <c r="H13" s="26" t="s">
        <v>0</v>
      </c>
    </row>
    <row r="14" spans="1:8" ht="16" customHeight="1" x14ac:dyDescent="0.2">
      <c r="H14" s="21" t="s">
        <v>7</v>
      </c>
    </row>
  </sheetData>
  <mergeCells count="11">
    <mergeCell ref="C8:C9"/>
    <mergeCell ref="C1:E1"/>
    <mergeCell ref="C2:E2"/>
    <mergeCell ref="A13:F13"/>
    <mergeCell ref="C11:E11"/>
    <mergeCell ref="E4:F4"/>
    <mergeCell ref="E5:F5"/>
    <mergeCell ref="E6:F6"/>
    <mergeCell ref="E7:F7"/>
    <mergeCell ref="E8:F9"/>
    <mergeCell ref="D8:D9"/>
  </mergeCells>
  <pageMargins left="0.7" right="0.7" top="0.75" bottom="0.75" header="0.3" footer="0.3"/>
  <pageSetup paperSize="9"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4A8A-13E9-4EDB-B294-D1FF8F18362C}">
  <sheetPr codeName="Feuil4">
    <tabColor rgb="FFCE4275"/>
  </sheetPr>
  <dimension ref="A1:DN8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8.83203125" defaultRowHeight="15" x14ac:dyDescent="0.2"/>
  <cols>
    <col min="1" max="1" width="26.1640625" customWidth="1"/>
    <col min="2" max="2" width="22.1640625" style="1" customWidth="1"/>
    <col min="3" max="3" width="7.6640625" style="1" customWidth="1"/>
    <col min="4" max="4" width="12" style="2" customWidth="1"/>
    <col min="5" max="5" width="11.83203125" style="2" customWidth="1"/>
    <col min="6" max="6" width="60.1640625" customWidth="1"/>
    <col min="7" max="7" width="5.1640625" customWidth="1"/>
    <col min="8" max="8" width="9.1640625" customWidth="1"/>
  </cols>
  <sheetData>
    <row r="1" spans="1:118" s="4" customFormat="1" ht="87" customHeight="1" x14ac:dyDescent="0.25">
      <c r="A1" s="3" t="s">
        <v>251</v>
      </c>
      <c r="B1" s="5"/>
      <c r="C1" s="5"/>
      <c r="D1" s="7"/>
      <c r="E1" s="7"/>
      <c r="F1" s="6"/>
      <c r="G1" s="6" t="s">
        <v>6</v>
      </c>
      <c r="H1" s="8" t="s">
        <v>0</v>
      </c>
    </row>
    <row r="2" spans="1:118" ht="66" customHeight="1" x14ac:dyDescent="0.2">
      <c r="A2" s="22" t="s">
        <v>2</v>
      </c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</row>
    <row r="3" spans="1:118" x14ac:dyDescent="0.2">
      <c r="A3" s="25" t="s">
        <v>3</v>
      </c>
      <c r="B3" t="s">
        <v>4</v>
      </c>
      <c r="C3"/>
      <c r="D3"/>
      <c r="E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x14ac:dyDescent="0.2">
      <c r="A4" s="25" t="s">
        <v>3</v>
      </c>
      <c r="B4" t="s">
        <v>5</v>
      </c>
      <c r="C4"/>
      <c r="D4"/>
      <c r="E4"/>
    </row>
    <row r="5" spans="1:118" x14ac:dyDescent="0.2">
      <c r="B5" s="27" t="s">
        <v>7</v>
      </c>
      <c r="C5"/>
      <c r="D5"/>
      <c r="E5"/>
    </row>
    <row r="6" spans="1:118" x14ac:dyDescent="0.2">
      <c r="B6"/>
      <c r="C6"/>
      <c r="D6"/>
    </row>
    <row r="7" spans="1:118" x14ac:dyDescent="0.2">
      <c r="A7" s="1"/>
      <c r="C7" s="2"/>
    </row>
    <row r="8" spans="1:118" x14ac:dyDescent="0.2">
      <c r="C8" s="2"/>
    </row>
  </sheetData>
  <sheetProtection sheet="1" objects="1" scenarios="1" sort="0" autoFilter="0"/>
  <autoFilter ref="A2:DN2" xr:uid="{F3674A8A-13E9-4EDB-B294-D1FF8F18362C}"/>
  <dataConsolidate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445B-6ECC-4440-B85C-E593AE209933}">
  <sheetPr codeName="Feuil13">
    <tabColor rgb="FF00B252"/>
  </sheetPr>
  <dimension ref="A1:FB4"/>
  <sheetViews>
    <sheetView showFormulas="1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I13" sqref="I13"/>
    </sheetView>
  </sheetViews>
  <sheetFormatPr baseColWidth="10" defaultRowHeight="15" x14ac:dyDescent="0.2"/>
  <cols>
    <col min="1" max="1" width="18.6640625" customWidth="1"/>
    <col min="2" max="2" width="11.83203125" customWidth="1"/>
    <col min="16" max="16" width="10.83203125" customWidth="1"/>
    <col min="126" max="126" width="13.5" customWidth="1"/>
    <col min="127" max="127" width="15.83203125" customWidth="1"/>
    <col min="128" max="128" width="36.1640625" customWidth="1"/>
    <col min="129" max="155" width="16.83203125" customWidth="1"/>
    <col min="156" max="156" width="20" customWidth="1"/>
    <col min="157" max="157" width="17" customWidth="1"/>
    <col min="164" max="164" width="45.1640625" bestFit="1" customWidth="1"/>
    <col min="165" max="165" width="15.1640625" bestFit="1" customWidth="1"/>
  </cols>
  <sheetData>
    <row r="1" spans="1:158" s="4" customFormat="1" ht="87" customHeight="1" x14ac:dyDescent="0.25">
      <c r="A1" s="130"/>
      <c r="B1" s="130"/>
      <c r="C1" s="130"/>
      <c r="D1" s="194" t="s">
        <v>278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31" t="s">
        <v>130</v>
      </c>
      <c r="S1" s="132" t="s">
        <v>0</v>
      </c>
      <c r="FA1" s="8" t="s">
        <v>0</v>
      </c>
      <c r="FB1" s="8" t="s">
        <v>0</v>
      </c>
    </row>
    <row r="2" spans="1:158" ht="66" customHeight="1" x14ac:dyDescent="0.2">
      <c r="A2" s="22" t="s">
        <v>8</v>
      </c>
      <c r="B2" t="s">
        <v>9</v>
      </c>
    </row>
    <row r="3" spans="1:158" x14ac:dyDescent="0.2">
      <c r="A3" s="25" t="s">
        <v>11</v>
      </c>
      <c r="B3" t="s">
        <v>10</v>
      </c>
    </row>
    <row r="4" spans="1:158" x14ac:dyDescent="0.2">
      <c r="B4" s="27" t="s">
        <v>7</v>
      </c>
      <c r="FA4" s="21"/>
    </row>
  </sheetData>
  <sheetProtection sheet="1" scenarios="1" autoFilter="0"/>
  <autoFilter ref="A2:DT2" xr:uid="{3B89445B-6ECC-4440-B85C-E593AE209933}"/>
  <mergeCells count="1">
    <mergeCell ref="D1:Q1"/>
  </mergeCells>
  <conditionalFormatting sqref="A2:EZ2 A3:FB1048576">
    <cfRule type="expression" dxfId="22" priority="2" stopIfTrue="1">
      <formula>OR(AND(OR($R1&lt;&gt;0,$S1&lt;&gt;0,$T1&lt;&gt;0,ISBLANK($P1)),ROW()&gt;2,$A1&lt;&gt;""),LEFT($I1,3)="JA ")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3F90-1EC7-764C-B747-7920FCEC73CB}">
  <sheetPr codeName="Feuil18">
    <tabColor rgb="FFF7F02D"/>
  </sheetPr>
  <dimension ref="A1:X7"/>
  <sheetViews>
    <sheetView topLeftCell="D1" zoomScaleNormal="90" workbookViewId="0">
      <selection activeCell="D7" sqref="D7"/>
    </sheetView>
  </sheetViews>
  <sheetFormatPr baseColWidth="10" defaultRowHeight="15" x14ac:dyDescent="0.2"/>
  <cols>
    <col min="1" max="1" width="32.5" hidden="1" customWidth="1"/>
    <col min="2" max="2" width="4.6640625" hidden="1" customWidth="1"/>
    <col min="3" max="3" width="38.33203125" hidden="1" customWidth="1"/>
    <col min="4" max="4" width="51.83203125" customWidth="1"/>
    <col min="5" max="5" width="34.6640625" hidden="1" customWidth="1"/>
    <col min="6" max="6" width="81" customWidth="1"/>
    <col min="7" max="8" width="19" customWidth="1"/>
    <col min="9" max="9" width="17.6640625" customWidth="1"/>
    <col min="10" max="11" width="16.83203125" customWidth="1"/>
    <col min="12" max="13" width="18.33203125" customWidth="1"/>
    <col min="14" max="15" width="20.5" customWidth="1"/>
    <col min="16" max="16" width="16.6640625" customWidth="1"/>
    <col min="21" max="22" width="18.1640625" customWidth="1"/>
  </cols>
  <sheetData>
    <row r="1" spans="1:24" s="4" customFormat="1" ht="87" customHeight="1" x14ac:dyDescent="0.25">
      <c r="A1" s="3"/>
      <c r="B1" s="5"/>
      <c r="C1" s="61" t="s">
        <v>96</v>
      </c>
      <c r="D1" s="61" t="s">
        <v>325</v>
      </c>
      <c r="E1" s="7"/>
      <c r="F1" s="7"/>
      <c r="G1" s="7"/>
      <c r="H1" s="7"/>
      <c r="I1" s="6"/>
      <c r="J1" s="6" t="s">
        <v>6</v>
      </c>
      <c r="K1" s="7" t="s">
        <v>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4" ht="42" customHeight="1" thickBot="1" x14ac:dyDescent="0.25">
      <c r="A2" s="20" t="s">
        <v>24</v>
      </c>
      <c r="B2" s="14" t="s">
        <v>19</v>
      </c>
      <c r="C2" t="s">
        <v>0</v>
      </c>
    </row>
    <row r="3" spans="1:24" ht="30" customHeight="1" thickTop="1" x14ac:dyDescent="0.2">
      <c r="A3" s="24" t="s">
        <v>12</v>
      </c>
      <c r="B3" s="15" t="e">
        <f>VLOOKUP(A3,'codage tribunal'!A:B,2,FALSE)</f>
        <v>#N/A</v>
      </c>
      <c r="C3" t="s">
        <v>0</v>
      </c>
    </row>
    <row r="4" spans="1:24" ht="19" customHeight="1" x14ac:dyDescent="0.2">
      <c r="B4" s="76"/>
      <c r="C4" s="75"/>
      <c r="D4" s="75"/>
      <c r="E4" s="75"/>
      <c r="F4" s="75"/>
      <c r="G4" s="195" t="s">
        <v>26</v>
      </c>
      <c r="H4" s="196"/>
      <c r="I4" s="196"/>
      <c r="J4" s="196"/>
      <c r="K4" s="196"/>
      <c r="L4" s="197"/>
      <c r="M4" s="198"/>
      <c r="N4" s="199" t="s">
        <v>27</v>
      </c>
      <c r="O4" s="197"/>
      <c r="P4" s="197"/>
      <c r="Q4" s="197"/>
      <c r="R4" s="197"/>
      <c r="S4" s="197"/>
      <c r="T4" s="200"/>
      <c r="U4" s="195" t="s">
        <v>28</v>
      </c>
      <c r="V4" s="198"/>
      <c r="W4" s="82"/>
      <c r="X4" t="s">
        <v>0</v>
      </c>
    </row>
    <row r="5" spans="1:24" ht="80" x14ac:dyDescent="0.2">
      <c r="C5" s="9"/>
      <c r="D5" s="9"/>
      <c r="E5" s="10"/>
      <c r="F5" s="10"/>
      <c r="G5" s="11" t="s">
        <v>13</v>
      </c>
      <c r="H5" s="81" t="s">
        <v>103</v>
      </c>
      <c r="I5" s="12" t="s">
        <v>14</v>
      </c>
      <c r="J5" s="12" t="s">
        <v>15</v>
      </c>
      <c r="K5" s="28" t="s">
        <v>29</v>
      </c>
      <c r="L5" s="77" t="s">
        <v>30</v>
      </c>
      <c r="M5" s="78" t="s">
        <v>103</v>
      </c>
      <c r="N5" s="12" t="s">
        <v>16</v>
      </c>
      <c r="O5" s="81" t="s">
        <v>103</v>
      </c>
      <c r="P5" s="12" t="s">
        <v>17</v>
      </c>
      <c r="Q5" s="12" t="s">
        <v>18</v>
      </c>
      <c r="R5" s="28" t="s">
        <v>29</v>
      </c>
      <c r="S5" s="77" t="s">
        <v>31</v>
      </c>
      <c r="T5" s="81" t="s">
        <v>103</v>
      </c>
      <c r="U5" s="77" t="s">
        <v>29</v>
      </c>
      <c r="V5" s="78" t="s">
        <v>103</v>
      </c>
      <c r="W5" t="s">
        <v>20</v>
      </c>
    </row>
    <row r="6" spans="1:24" ht="16" x14ac:dyDescent="0.2">
      <c r="A6" s="13"/>
      <c r="C6" s="17" t="s">
        <v>23</v>
      </c>
      <c r="D6" s="17" t="s">
        <v>104</v>
      </c>
      <c r="E6" s="16" t="s">
        <v>22</v>
      </c>
      <c r="F6" s="102" t="s">
        <v>105</v>
      </c>
      <c r="G6" s="19" t="e">
        <f>SUMIFS(
INDEX('ETPT Format DDG'!$A:$ZZ,,IFERROR(MATCH(E6,'ETPT Format DDG'!$2:$2,0),MATCH(C6,'ETPT Format DDG'!$2:$2,0))),
INDEX( 'ETPT Format DDG'!$A:$ZZ,,MATCH("Fonction agrégat",'ETPT Format DDG'!2:2,0)),"M-TIT")</f>
        <v>#N/A</v>
      </c>
      <c r="H6" s="79" t="str">
        <f>IF(AND(OR(LEFT(C6,3)="14.",LEFT(E6,3)="14.",LEFT(E6,5)="CET &gt;", IFERROR(G6/$G$6,"")=0),NOT(AND(LEFT(E6,4)="14.4",IFERROR(G6/$G$6,"")&lt;&gt;0)),NOT(AND(LEFT(E6,4)="14.5",IFERROR(G6/$G$6,"")&lt;&gt;0)),NOT(AND(LEFT(E6,5)="14.14",IFERROR(G6/$G$6,"")&lt;&gt;0))),"", IFERROR(G6/$G$6,""))</f>
        <v/>
      </c>
      <c r="I6" s="18" t="e">
        <f>SUMIFS(
INDEX('ETPT Format DDG'!$A:$ZZ,,IFERROR(MATCH(E6,'ETPT Format DDG'!$2:$2,0),MATCH(C6,'ETPT Format DDG'!$2:$2,0))),
INDEX( 'ETPT Format DDG'!$A:$ZZ,,MATCH("Fonction agrégat",'ETPT Format DDG'!2:2,0)),"M-PLAC-ADD")</f>
        <v>#N/A</v>
      </c>
      <c r="J6" s="18" t="e">
        <f>SUMIFS(
INDEX('ETPT Format DDG'!$A:$ZZ,,IFERROR(MATCH(E6,'ETPT Format DDG'!$2:$2,0),MATCH(C6,'ETPT Format DDG'!$2:$2,0))),
INDEX( 'ETPT Format DDG'!$A:$ZZ,,MATCH("Fonction agrégat",'ETPT Format DDG'!2:2,0)),"M-PLAC-SUB")</f>
        <v>#N/A</v>
      </c>
      <c r="K6" s="18" t="e">
        <f>SUMIFS(
INDEX('ETPT Format DDG'!$A:$ZZ,,IFERROR(MATCH(E6,'ETPT Format DDG'!$2:$2,0),MATCH(C6,'ETPT Format DDG'!$2:$2,0))),
INDEX( 'ETPT Format DDG'!$A:$ZZ,,MATCH("Fonction agrégat",'ETPT Format DDG'!2:2,0)),"M-CONT",
INDEX( 'ETPT Format DDG'!$A:$ZZ,,MATCH("Catégorie",'ETPT Format DDG'!2:2,0)),"Magistrat")</f>
        <v>#N/A</v>
      </c>
      <c r="L6" s="19" t="e">
        <f>SUMIFS(
INDEX('ETPT Format DDG'!$A:$ZZ,,IFERROR(MATCH(E6,'ETPT Format DDG'!$2:$2,0),MATCH(C6,'ETPT Format DDG'!$2:$2,0))),
INDEX( 'ETPT Format DDG'!$A:$ZZ,,MATCH("Catégorie",'ETPT Format DDG'!2:2,0)),"Magistrat")</f>
        <v>#N/A</v>
      </c>
      <c r="M6" s="80" t="str">
        <f>IF(AND(OR(LEFT(C6,3)="14.",LEFT(E6,3)="14.",LEFT(E6,5)="CET &gt;", IFERROR(L6/$L$6,"")=0),NOT(AND(LEFT(E6,4)="14.4",IFERROR(L6/$G$6,"")&lt;&gt;0)),NOT(AND(LEFT(E6,4)="14.5",IFERROR(L6/$G$6,"")&lt;&gt;0)),NOT(AND(LEFT(E6,5)="14.14",IFERROR(L6/$G$6,"")&lt;&gt;0))),"", IFERROR(L6/$L$6,""))</f>
        <v/>
      </c>
      <c r="N6" s="18" t="e">
        <f>SUMIFS(
INDEX('ETPT Format DDG'!$A:$ZZ,,IFERROR(MATCH(E6,'ETPT Format DDG'!$2:$2,0),MATCH(C6,'ETPT Format DDG'!$2:$2,0))),
INDEX( 'ETPT Format DDG'!$A:$ZZ,,MATCH("Fonction agrégat",'ETPT Format DDG'!2:2,0)),"F-TIT")</f>
        <v>#N/A</v>
      </c>
      <c r="O6" s="79" t="str">
        <f>IF(AND(OR(LEFT(C6,3)="14.",LEFT(E6,3)="14.",LEFT(E6,5)="CET &gt;", IFERROR(N6/$N$6,"")=0),NOT(AND(LEFT(E6,4)="14.4",IFERROR(N6/$N$6,"")&lt;&gt;0)),NOT(AND(LEFT(E6,4)="14.5",IFERROR(N6/$N$6,"")&lt;&gt;0)),NOT(AND(LEFT(E6,5)="14.14",IFERROR(N6/$N$6,"")&lt;&gt;0))),"", IFERROR(N6/$N$6,""))</f>
        <v/>
      </c>
      <c r="P6" s="18" t="e">
        <f>SUMIFS(
INDEX('ETPT Format DDG'!$A:$FB,,IFERROR(MATCH(E6,'ETPT Format DDG'!$2:$2,0),MATCH(C6,'ETPT Format DDG'!$2:$2,0))),
INDEX( 'ETPT Format DDG'!$A:$ZZ,,MATCH("Fonction agrégat",'ETPT Format DDG'!2:2,0)),"F-PLAC-ADD")</f>
        <v>#N/A</v>
      </c>
      <c r="Q6" s="18" t="e">
        <f>SUMIFS(
INDEX('ETPT Format DDG'!$A:$FB,,IFERROR(MATCH(E6,'ETPT Format DDG'!$2:$2,0),MATCH(C6,'ETPT Format DDG'!$2:$2,0))),
INDEX( 'ETPT Format DDG'!$A:$ZZ,,MATCH("Fonction agrégat",'ETPT Format DDG'!2:2,0)),"F-PLAC-SUB")</f>
        <v>#N/A</v>
      </c>
      <c r="R6" s="18" t="e">
        <f>SUMIFS(
INDEX('ETPT Format DDG'!$A:$FB,,IFERROR(MATCH(E6,'ETPT Format DDG'!$2:$2,0),MATCH(C6,'ETPT Format DDG'!$2:$2,0))),
INDEX( 'ETPT Format DDG'!$A:$ZZ,,MATCH("Fonction agrégat",'ETPT Format DDG'!2:2,0)),"C",
INDEX( 'ETPT Format DDG'!$A:$ZZ,,MATCH("Catégorie",'ETPT Format DDG'!2:2,0)),"Greffe")</f>
        <v>#N/A</v>
      </c>
      <c r="S6" s="19" t="e">
        <f>SUMIFS(
INDEX('ETPT Format DDG'!$A:$FB,,IFERROR(MATCH(E6,'ETPT Format DDG'!$2:$2,0),MATCH(C6,'ETPT Format DDG'!$2:$2,0))),
INDEX( 'ETPT Format DDG'!$A:$ZZ,,MATCH("Catégorie",'ETPT Format DDG'!2:2,0)),"Greffe")</f>
        <v>#N/A</v>
      </c>
      <c r="T6" s="79" t="str">
        <f>IF(AND(OR(LEFT(C6,3)="14.",LEFT(E6,3)="14.",LEFT(E6,5)="CET &gt;", IFERROR(S6/$S$6,"")=0),NOT(AND(LEFT(E6,4)="14.4",IFERROR(S6/$S$6,"")&lt;&gt;0)),NOT(AND(LEFT(E6,4)="14.5",IFERROR(S6/$S$6,"")&lt;&gt;0)),NOT(AND(LEFT(E6,5)="14.14",IFERROR(S6/$S$6,"")&lt;&gt;0))),"", IFERROR(S6/$S$6,""))</f>
        <v/>
      </c>
      <c r="U6" s="19" t="e">
        <f>SUMIFS(
INDEX('ETPT Format DDG'!$A:$FB,,IFERROR(MATCH(E6,'ETPT Format DDG'!$2:$2,0),MATCH(C6,'ETPT Format DDG'!$2:$2,0))),
INDEX( 'ETPT Format DDG'!$A:$ZZ,,MATCH("Fonction agrégat",'ETPT Format DDG'!2:2,0)),"C",
INDEX( 'ETPT Format DDG'!$A:$ZZ,,MATCH("Catégorie",'ETPT Format DDG'!2:2,0)),"Autour du magistrat")</f>
        <v>#N/A</v>
      </c>
      <c r="V6" s="80" t="str">
        <f>IF(AND(OR(LEFT(C6,3)="14.",LEFT(E6,3)="14.",LEFT(E6,5)="CET &gt;", IFERROR(U6/$U$6,"")=0),NOT(AND(LEFT(E6,4)="14.4",IFERROR(U6/$U$6,"")&lt;&gt;0)),NOT(AND(LEFT(E6,4)="14.5",IFERROR(U6/$U$6,"")&lt;&gt;0)),NOT(AND(LEFT(E6,5)="14.14",IFERROR(U6/$U$6,"")&lt;&gt;0))),"", IFERROR(U6/$U$6,""))</f>
        <v/>
      </c>
      <c r="W6" t="s">
        <v>21</v>
      </c>
    </row>
    <row r="7" spans="1:24" x14ac:dyDescent="0.2"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t="s">
        <v>7</v>
      </c>
    </row>
  </sheetData>
  <mergeCells count="3">
    <mergeCell ref="G4:M4"/>
    <mergeCell ref="N4:T4"/>
    <mergeCell ref="U4:V4"/>
  </mergeCells>
  <conditionalFormatting sqref="B4:F4">
    <cfRule type="expression" dxfId="21" priority="20">
      <formula>IF(LEFT($A$3,2)&lt;&gt;"TJ",TRUE,FALSE)</formula>
    </cfRule>
  </conditionalFormatting>
  <conditionalFormatting sqref="C6:F6 C7:V151">
    <cfRule type="expression" dxfId="20" priority="22">
      <formula>AND(ISBLANK($C6)=FALSE,ISBLANK($E6)=TRUE)</formula>
    </cfRule>
  </conditionalFormatting>
  <conditionalFormatting sqref="D1:F1048576">
    <cfRule type="expression" dxfId="19" priority="19" stopIfTrue="1">
      <formula>AND($D1="7. TOTAL CONTENTIEUX DES MINEURS",OR(ROUND(_xlfn.NUMBERVALUE($L1)-_xlfn.NUMBERVALUE($L2)-_xlfn.NUMBERVALUE($L3),3)&lt;&gt;0,ROUND(_xlfn.NUMBERVALUE($S1)-_xlfn.NUMBERVALUE($S2)-_xlfn.NUMBERVALUE($S3),3)&lt;&gt;0,ROUND(_xlfn.NUMBERVALUE($U1)-_xlfn.NUMBERVALUE($U2)-_xlfn.NUMBERVALUE($U3),3)&lt;&gt;0))</formula>
    </cfRule>
  </conditionalFormatting>
  <conditionalFormatting sqref="D7:F7">
    <cfRule type="expression" dxfId="18" priority="17" stopIfTrue="1">
      <formula>OR(_xlfn.NUMBERVALUE($L6)&lt;&gt;_xlfn.NUMBERVALUE($L7),_xlfn.NUMBERVALUE($S6)&lt;&gt;_xlfn.NUMBERVALUE($S7),_xlfn.NUMBERVALUE($U6)&lt;&gt;_xlfn.NUMBERVALUE($U7))</formula>
    </cfRule>
  </conditionalFormatting>
  <conditionalFormatting sqref="G1:M1048576">
    <cfRule type="expression" dxfId="17" priority="6">
      <formula>AND($D1="7. TOTAL CONTENTIEUX DES MINEURS",ROUND(_xlfn.NUMBERVALUE($L1)-_xlfn.NUMBERVALUE($L2)-_xlfn.NUMBERVALUE($L3),3)&lt;&gt;0)</formula>
    </cfRule>
  </conditionalFormatting>
  <conditionalFormatting sqref="G7:M7">
    <cfRule type="expression" dxfId="16" priority="14" stopIfTrue="1">
      <formula>_xlfn.NUMBERVALUE($L7)&lt;&gt;_xlfn.NUMBERVALUE($L6)</formula>
    </cfRule>
  </conditionalFormatting>
  <conditionalFormatting sqref="G6:V6">
    <cfRule type="expression" dxfId="15" priority="7">
      <formula>AND(ISBLANK($C6)=FALSE,ISBLANK($E6)=TRUE)</formula>
    </cfRule>
  </conditionalFormatting>
  <conditionalFormatting sqref="N1:T1048576">
    <cfRule type="expression" dxfId="14" priority="5">
      <formula>AND($D1="7. TOTAL CONTENTIEUX DES MINEURS",ROUND(_xlfn.NUMBERVALUE($S1)-_xlfn.NUMBERVALUE($S2)-_xlfn.NUMBERVALUE($S3),3)&lt;&gt;0)</formula>
    </cfRule>
  </conditionalFormatting>
  <conditionalFormatting sqref="N7:T7">
    <cfRule type="expression" dxfId="13" priority="11" stopIfTrue="1">
      <formula>_xlfn.NUMBERVALUE($S7)&lt;&gt;_xlfn.NUMBERVALUE($S6)</formula>
    </cfRule>
  </conditionalFormatting>
  <conditionalFormatting sqref="U1:V1048576">
    <cfRule type="expression" dxfId="12" priority="4">
      <formula>AND($D1="7. TOTAL CONTENTIEUX DES MINEURS",ROUND(_xlfn.NUMBERVALUE($U1)-_xlfn.NUMBERVALUE($U2)-_xlfn.NUMBERVALUE($U3),3)&lt;&gt;0)</formula>
    </cfRule>
  </conditionalFormatting>
  <conditionalFormatting sqref="U7:V7">
    <cfRule type="expression" dxfId="11" priority="8">
      <formula>_xlfn.NUMBERVALUE($U7)&lt;&gt;_xlfn.NUMBERVALUE($U6)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8FA8-E8EA-D647-9FEC-F590B68508F3}">
  <dimension ref="A1:W3"/>
  <sheetViews>
    <sheetView workbookViewId="0">
      <selection activeCell="A2" sqref="A2"/>
    </sheetView>
  </sheetViews>
  <sheetFormatPr baseColWidth="10" defaultRowHeight="15" x14ac:dyDescent="0.2"/>
  <cols>
    <col min="2" max="2" width="26.6640625" customWidth="1"/>
    <col min="4" max="4" width="14.83203125" customWidth="1"/>
    <col min="5" max="5" width="15.1640625" customWidth="1"/>
    <col min="6" max="6" width="0" hidden="1" customWidth="1"/>
    <col min="7" max="7" width="14" customWidth="1"/>
    <col min="8" max="8" width="15.1640625" customWidth="1"/>
    <col min="9" max="9" width="13" customWidth="1"/>
    <col min="11" max="11" width="16.6640625" customWidth="1"/>
    <col min="12" max="12" width="14" customWidth="1"/>
    <col min="13" max="13" width="17" customWidth="1"/>
    <col min="14" max="14" width="13.83203125" customWidth="1"/>
    <col min="15" max="15" width="17.83203125" customWidth="1"/>
    <col min="16" max="16" width="14.1640625" customWidth="1"/>
    <col min="17" max="17" width="13" customWidth="1"/>
    <col min="19" max="20" width="19" customWidth="1"/>
    <col min="21" max="21" width="12.1640625" customWidth="1"/>
    <col min="22" max="22" width="255.6640625" customWidth="1"/>
  </cols>
  <sheetData>
    <row r="1" spans="1:23" ht="112" x14ac:dyDescent="0.2">
      <c r="A1" s="22" t="s">
        <v>284</v>
      </c>
      <c r="B1" s="22" t="s">
        <v>285</v>
      </c>
      <c r="C1" s="22" t="s">
        <v>132</v>
      </c>
      <c r="D1" s="22" t="s">
        <v>286</v>
      </c>
      <c r="E1" s="22" t="s">
        <v>287</v>
      </c>
      <c r="F1" s="22"/>
      <c r="G1" s="166" t="s">
        <v>288</v>
      </c>
      <c r="H1" s="166" t="s">
        <v>289</v>
      </c>
      <c r="I1" s="167" t="s">
        <v>290</v>
      </c>
      <c r="J1" s="167" t="s">
        <v>291</v>
      </c>
      <c r="K1" s="167" t="s">
        <v>292</v>
      </c>
      <c r="L1" s="168" t="s">
        <v>293</v>
      </c>
      <c r="M1" s="22" t="s">
        <v>294</v>
      </c>
      <c r="N1" s="168" t="s">
        <v>295</v>
      </c>
      <c r="O1" s="169" t="s">
        <v>296</v>
      </c>
      <c r="P1" s="22" t="s">
        <v>297</v>
      </c>
      <c r="Q1" s="169" t="s">
        <v>298</v>
      </c>
      <c r="R1" s="169" t="s">
        <v>299</v>
      </c>
      <c r="S1" s="166" t="s">
        <v>300</v>
      </c>
      <c r="T1" s="166" t="s">
        <v>326</v>
      </c>
      <c r="U1" s="22" t="s">
        <v>328</v>
      </c>
      <c r="V1" s="171" t="s">
        <v>324</v>
      </c>
      <c r="W1" t="s">
        <v>301</v>
      </c>
    </row>
    <row r="2" spans="1:23" ht="18" customHeight="1" x14ac:dyDescent="0.2">
      <c r="A2" s="170" t="s">
        <v>302</v>
      </c>
      <c r="B2" s="170" t="s">
        <v>303</v>
      </c>
      <c r="C2" s="170" t="s">
        <v>304</v>
      </c>
      <c r="D2" s="170" t="s">
        <v>305</v>
      </c>
      <c r="E2" s="170" t="s">
        <v>306</v>
      </c>
      <c r="F2" s="170" t="s">
        <v>307</v>
      </c>
      <c r="G2" s="170" t="s">
        <v>308</v>
      </c>
      <c r="H2" s="170" t="s">
        <v>309</v>
      </c>
      <c r="I2" s="175" t="s">
        <v>310</v>
      </c>
      <c r="J2" s="175" t="s">
        <v>311</v>
      </c>
      <c r="K2" s="173" t="s">
        <v>312</v>
      </c>
      <c r="L2" s="173" t="s">
        <v>313</v>
      </c>
      <c r="M2" s="174" t="s">
        <v>314</v>
      </c>
      <c r="N2" s="176" t="s">
        <v>315</v>
      </c>
      <c r="O2" s="173" t="s">
        <v>316</v>
      </c>
      <c r="P2" s="173" t="s">
        <v>317</v>
      </c>
      <c r="Q2" s="173" t="s">
        <v>318</v>
      </c>
      <c r="R2" s="173" t="s">
        <v>319</v>
      </c>
      <c r="S2" s="173" t="s">
        <v>320</v>
      </c>
      <c r="T2" s="173" t="s">
        <v>327</v>
      </c>
      <c r="U2" s="173" t="s">
        <v>321</v>
      </c>
      <c r="V2" s="172" t="s">
        <v>322</v>
      </c>
      <c r="W2" t="s">
        <v>323</v>
      </c>
    </row>
    <row r="3" spans="1:23" x14ac:dyDescent="0.2">
      <c r="W3" t="s">
        <v>7</v>
      </c>
    </row>
  </sheetData>
  <conditionalFormatting sqref="A1:B1">
    <cfRule type="expression" dxfId="10" priority="11">
      <formula>AND(OR($I1&lt;&gt;"-",#REF!&lt;&gt;0,#REF!&lt;&gt;0,ISBLANK($M1)),ROW()&gt;2,$A1&lt;&gt;"")</formula>
    </cfRule>
  </conditionalFormatting>
  <conditionalFormatting sqref="A2:F2">
    <cfRule type="expression" dxfId="9" priority="10" stopIfTrue="1">
      <formula>$F2="x"</formula>
    </cfRule>
  </conditionalFormatting>
  <conditionalFormatting sqref="G2:N2">
    <cfRule type="expression" dxfId="8" priority="5">
      <formula>$F2="x"</formula>
    </cfRule>
  </conditionalFormatting>
  <conditionalFormatting sqref="I2:K2">
    <cfRule type="expression" dxfId="7" priority="6">
      <formula>1=1</formula>
    </cfRule>
  </conditionalFormatting>
  <conditionalFormatting sqref="L2">
    <cfRule type="expression" dxfId="6" priority="8">
      <formula>1=1</formula>
    </cfRule>
  </conditionalFormatting>
  <conditionalFormatting sqref="N2">
    <cfRule type="expression" dxfId="5" priority="7">
      <formula>1=1</formula>
    </cfRule>
  </conditionalFormatting>
  <conditionalFormatting sqref="O2">
    <cfRule type="expression" dxfId="4" priority="9">
      <formula>1=1</formula>
    </cfRule>
  </conditionalFormatting>
  <conditionalFormatting sqref="O2:V2">
    <cfRule type="expression" dxfId="3" priority="1">
      <formula>$F2="x"</formula>
    </cfRule>
  </conditionalFormatting>
  <conditionalFormatting sqref="Q2:R2">
    <cfRule type="expression" dxfId="2" priority="4">
      <formula>1=1</formula>
    </cfRule>
  </conditionalFormatting>
  <conditionalFormatting sqref="S2:T2">
    <cfRule type="expression" dxfId="1" priority="3">
      <formula>1=1</formula>
    </cfRule>
  </conditionalFormatting>
  <conditionalFormatting sqref="V2">
    <cfRule type="expression" dxfId="0" priority="2">
      <formula>1=1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7A98-8726-2B45-9E0D-08F39416C73F}">
  <sheetPr codeName="Feuil19"/>
  <dimension ref="L1:L19"/>
  <sheetViews>
    <sheetView workbookViewId="0">
      <selection activeCell="N17" sqref="N17"/>
    </sheetView>
  </sheetViews>
  <sheetFormatPr baseColWidth="10" defaultRowHeight="15" x14ac:dyDescent="0.2"/>
  <sheetData>
    <row r="1" spans="12:12" ht="16" x14ac:dyDescent="0.2">
      <c r="L1" s="26" t="s">
        <v>0</v>
      </c>
    </row>
    <row r="2" spans="12:12" ht="16" x14ac:dyDescent="0.2">
      <c r="L2" s="26" t="s">
        <v>0</v>
      </c>
    </row>
    <row r="3" spans="12:12" ht="16" x14ac:dyDescent="0.2">
      <c r="L3" s="26" t="s">
        <v>0</v>
      </c>
    </row>
    <row r="4" spans="12:12" ht="16" x14ac:dyDescent="0.2">
      <c r="L4" s="26" t="s">
        <v>0</v>
      </c>
    </row>
    <row r="5" spans="12:12" ht="16" x14ac:dyDescent="0.2">
      <c r="L5" s="26" t="s">
        <v>0</v>
      </c>
    </row>
    <row r="6" spans="12:12" ht="16" x14ac:dyDescent="0.2">
      <c r="L6" s="26" t="s">
        <v>0</v>
      </c>
    </row>
    <row r="7" spans="12:12" ht="16" x14ac:dyDescent="0.2">
      <c r="L7" s="26" t="s">
        <v>0</v>
      </c>
    </row>
    <row r="8" spans="12:12" ht="16" x14ac:dyDescent="0.2">
      <c r="L8" s="26" t="s">
        <v>0</v>
      </c>
    </row>
    <row r="9" spans="12:12" ht="16" x14ac:dyDescent="0.2">
      <c r="L9" s="26" t="s">
        <v>0</v>
      </c>
    </row>
    <row r="10" spans="12:12" ht="16" x14ac:dyDescent="0.2">
      <c r="L10" s="26" t="s">
        <v>0</v>
      </c>
    </row>
    <row r="11" spans="12:12" ht="16" x14ac:dyDescent="0.2">
      <c r="L11" s="26" t="s">
        <v>0</v>
      </c>
    </row>
    <row r="12" spans="12:12" ht="16" x14ac:dyDescent="0.2">
      <c r="L12" s="26" t="s">
        <v>0</v>
      </c>
    </row>
    <row r="13" spans="12:12" ht="16" x14ac:dyDescent="0.2">
      <c r="L13" s="26" t="s">
        <v>0</v>
      </c>
    </row>
    <row r="14" spans="12:12" ht="16" x14ac:dyDescent="0.2">
      <c r="L14" s="26" t="s">
        <v>0</v>
      </c>
    </row>
    <row r="15" spans="12:12" ht="16" x14ac:dyDescent="0.2">
      <c r="L15" s="26" t="s">
        <v>0</v>
      </c>
    </row>
    <row r="16" spans="12:12" ht="16" x14ac:dyDescent="0.2">
      <c r="L16" s="26" t="s">
        <v>0</v>
      </c>
    </row>
    <row r="17" spans="12:12" ht="16" x14ac:dyDescent="0.2">
      <c r="L17" s="26" t="s">
        <v>0</v>
      </c>
    </row>
    <row r="18" spans="12:12" ht="16" x14ac:dyDescent="0.2">
      <c r="L18" s="26" t="s">
        <v>0</v>
      </c>
    </row>
    <row r="19" spans="12:12" ht="16" x14ac:dyDescent="0.2">
      <c r="L19" s="2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0A74-92BE-614C-B933-4270BECA0D39}">
  <sheetPr codeName="Feuil12"/>
  <dimension ref="A1:M21"/>
  <sheetViews>
    <sheetView workbookViewId="0">
      <selection activeCell="M1" sqref="M1:M21"/>
    </sheetView>
  </sheetViews>
  <sheetFormatPr baseColWidth="10" defaultColWidth="11" defaultRowHeight="13" x14ac:dyDescent="0.15"/>
  <cols>
    <col min="1" max="1" width="8.33203125" style="29" customWidth="1"/>
    <col min="2" max="2" width="25.5" style="30" bestFit="1" customWidth="1"/>
    <col min="3" max="3" width="11" style="29"/>
    <col min="4" max="4" width="11" style="29" customWidth="1"/>
    <col min="5" max="5" width="19" style="30" bestFit="1" customWidth="1"/>
    <col min="6" max="6" width="11" style="29"/>
    <col min="7" max="7" width="12" style="29" customWidth="1"/>
    <col min="8" max="8" width="27.33203125" style="30" bestFit="1" customWidth="1"/>
    <col min="9" max="9" width="12.1640625" style="29" customWidth="1"/>
    <col min="10" max="10" width="22.33203125" style="29" customWidth="1"/>
    <col min="11" max="16384" width="11" style="29"/>
  </cols>
  <sheetData>
    <row r="1" spans="1:13" s="33" customFormat="1" ht="16" x14ac:dyDescent="0.2">
      <c r="A1" s="34" t="s">
        <v>33</v>
      </c>
      <c r="B1"/>
      <c r="D1" s="34" t="s">
        <v>35</v>
      </c>
      <c r="E1"/>
      <c r="G1" s="34" t="s">
        <v>34</v>
      </c>
      <c r="H1"/>
      <c r="I1" s="46" t="s">
        <v>83</v>
      </c>
      <c r="M1" s="26" t="s">
        <v>0</v>
      </c>
    </row>
    <row r="2" spans="1:13" ht="16" x14ac:dyDescent="0.2">
      <c r="B2"/>
      <c r="E2"/>
      <c r="H2"/>
      <c r="I2"/>
      <c r="M2" s="26" t="s">
        <v>0</v>
      </c>
    </row>
    <row r="3" spans="1:13" ht="16" x14ac:dyDescent="0.2">
      <c r="B3" s="32"/>
      <c r="E3" s="32"/>
      <c r="H3" s="31"/>
      <c r="I3"/>
      <c r="M3" s="26" t="s">
        <v>0</v>
      </c>
    </row>
    <row r="4" spans="1:13" ht="16" x14ac:dyDescent="0.15">
      <c r="B4" s="32"/>
      <c r="E4" s="32"/>
      <c r="H4" s="31"/>
      <c r="M4" s="26" t="s">
        <v>0</v>
      </c>
    </row>
    <row r="5" spans="1:13" ht="16" x14ac:dyDescent="0.15">
      <c r="B5" s="32"/>
      <c r="E5" s="32"/>
      <c r="H5" s="31"/>
      <c r="M5" s="26" t="s">
        <v>0</v>
      </c>
    </row>
    <row r="6" spans="1:13" ht="16" x14ac:dyDescent="0.15">
      <c r="H6" s="31"/>
      <c r="M6" s="26" t="s">
        <v>0</v>
      </c>
    </row>
    <row r="7" spans="1:13" ht="16" x14ac:dyDescent="0.15">
      <c r="H7" s="31"/>
      <c r="M7" s="26" t="s">
        <v>0</v>
      </c>
    </row>
    <row r="8" spans="1:13" ht="16" x14ac:dyDescent="0.15">
      <c r="H8" s="31"/>
      <c r="M8" s="26" t="s">
        <v>0</v>
      </c>
    </row>
    <row r="9" spans="1:13" ht="16" x14ac:dyDescent="0.15">
      <c r="M9" s="26" t="s">
        <v>0</v>
      </c>
    </row>
    <row r="10" spans="1:13" ht="16" x14ac:dyDescent="0.15">
      <c r="M10" s="26" t="s">
        <v>0</v>
      </c>
    </row>
    <row r="11" spans="1:13" ht="16" x14ac:dyDescent="0.15">
      <c r="M11" s="26" t="s">
        <v>0</v>
      </c>
    </row>
    <row r="12" spans="1:13" ht="16" x14ac:dyDescent="0.15">
      <c r="M12" s="26" t="s">
        <v>0</v>
      </c>
    </row>
    <row r="13" spans="1:13" ht="16" x14ac:dyDescent="0.15">
      <c r="M13" s="26" t="s">
        <v>0</v>
      </c>
    </row>
    <row r="14" spans="1:13" ht="16" x14ac:dyDescent="0.15">
      <c r="M14" s="26" t="s">
        <v>0</v>
      </c>
    </row>
    <row r="15" spans="1:13" ht="16" x14ac:dyDescent="0.15">
      <c r="M15" s="26" t="s">
        <v>0</v>
      </c>
    </row>
    <row r="16" spans="1:13" ht="16" x14ac:dyDescent="0.15">
      <c r="M16" s="26" t="s">
        <v>0</v>
      </c>
    </row>
    <row r="17" spans="13:13" ht="16" x14ac:dyDescent="0.15">
      <c r="M17" s="26" t="s">
        <v>0</v>
      </c>
    </row>
    <row r="18" spans="13:13" ht="16" x14ac:dyDescent="0.15">
      <c r="M18" s="26" t="s">
        <v>0</v>
      </c>
    </row>
    <row r="19" spans="13:13" ht="16" x14ac:dyDescent="0.2">
      <c r="M19" s="21" t="s">
        <v>7</v>
      </c>
    </row>
    <row r="20" spans="13:13" ht="15" x14ac:dyDescent="0.2">
      <c r="M20"/>
    </row>
    <row r="21" spans="13:13" ht="15" x14ac:dyDescent="0.2">
      <c r="M2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5DB0-40DB-6046-B965-F2F52476B1A1}">
  <sheetPr codeName="Feuil14">
    <pageSetUpPr fitToPage="1"/>
  </sheetPr>
  <dimension ref="A1:H83"/>
  <sheetViews>
    <sheetView zoomScale="94" zoomScaleNormal="80" workbookViewId="0">
      <selection activeCell="A11" sqref="A11"/>
    </sheetView>
  </sheetViews>
  <sheetFormatPr baseColWidth="10" defaultColWidth="11" defaultRowHeight="15" x14ac:dyDescent="0.2"/>
  <cols>
    <col min="1" max="1" width="17.83203125" style="35" bestFit="1" customWidth="1"/>
    <col min="2" max="2" width="86.1640625" style="35" customWidth="1"/>
    <col min="3" max="3" width="28.5" style="35" customWidth="1"/>
    <col min="4" max="4" width="19" style="35" customWidth="1"/>
    <col min="5" max="5" width="14.5" style="35" customWidth="1"/>
    <col min="6" max="6" width="30.5" style="35" customWidth="1"/>
    <col min="7" max="7" width="81.1640625" style="35" customWidth="1"/>
    <col min="8" max="16384" width="11" style="35"/>
  </cols>
  <sheetData>
    <row r="1" spans="1:8" ht="76" customHeight="1" x14ac:dyDescent="0.2">
      <c r="A1" s="103" t="s">
        <v>131</v>
      </c>
      <c r="B1" s="104" t="s">
        <v>132</v>
      </c>
      <c r="C1" s="104" t="s">
        <v>133</v>
      </c>
      <c r="D1" s="104" t="s">
        <v>134</v>
      </c>
      <c r="E1" s="104" t="s">
        <v>19</v>
      </c>
      <c r="F1" s="104" t="s">
        <v>135</v>
      </c>
      <c r="G1" s="104" t="s">
        <v>136</v>
      </c>
      <c r="H1" t="s">
        <v>128</v>
      </c>
    </row>
    <row r="2" spans="1:8" ht="16" x14ac:dyDescent="0.2">
      <c r="A2" s="35" t="s">
        <v>137</v>
      </c>
      <c r="B2" s="35" t="s">
        <v>121</v>
      </c>
      <c r="C2" s="35" t="s">
        <v>122</v>
      </c>
      <c r="D2" s="101" t="s">
        <v>124</v>
      </c>
      <c r="E2" s="35" t="s">
        <v>123</v>
      </c>
      <c r="F2" s="101" t="s">
        <v>126</v>
      </c>
      <c r="G2" s="101" t="s">
        <v>125</v>
      </c>
      <c r="H2" t="s">
        <v>127</v>
      </c>
    </row>
    <row r="3" spans="1:8" x14ac:dyDescent="0.2">
      <c r="H3" t="s">
        <v>7</v>
      </c>
    </row>
    <row r="50" ht="18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72" spans="1:7" ht="15.75" customHeight="1" x14ac:dyDescent="0.2"/>
    <row r="73" spans="1:7" ht="15.75" customHeight="1" x14ac:dyDescent="0.2"/>
    <row r="74" spans="1:7" s="36" customFormat="1" ht="15.75" customHeight="1" x14ac:dyDescent="0.2">
      <c r="A74" s="35"/>
      <c r="B74" s="35"/>
      <c r="C74" s="35"/>
      <c r="D74" s="35"/>
      <c r="E74" s="35"/>
      <c r="F74" s="35"/>
      <c r="G74" s="35"/>
    </row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</sheetData>
  <pageMargins left="0.70866141732283472" right="0.70866141732283472" top="0.74803149606299213" bottom="0.74803149606299213" header="0.31496062992125984" footer="0.31496062992125984"/>
  <pageSetup paperSize="8"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B6A9-5FC7-3A43-BF37-0B81E3F33F51}">
  <sheetPr codeName="Feuil16">
    <tabColor rgb="FF01A94F"/>
  </sheetPr>
  <dimension ref="A1:BF17"/>
  <sheetViews>
    <sheetView tabSelected="1" topLeftCell="D1" zoomScaleNormal="100" workbookViewId="0">
      <pane xSplit="3" topLeftCell="G1" activePane="topRight" state="frozen"/>
      <selection activeCell="D1" sqref="D1"/>
      <selection pane="topRight" activeCell="G4" sqref="G4"/>
    </sheetView>
  </sheetViews>
  <sheetFormatPr baseColWidth="10" defaultColWidth="11" defaultRowHeight="16" x14ac:dyDescent="0.2"/>
  <cols>
    <col min="1" max="3" width="11" style="37" hidden="1" customWidth="1"/>
    <col min="4" max="4" width="13.5" style="37" bestFit="1" customWidth="1"/>
    <col min="5" max="5" width="11" style="37"/>
    <col min="6" max="6" width="55.6640625" style="37" customWidth="1"/>
    <col min="7" max="8" width="11" style="37"/>
    <col min="9" max="9" width="15.5" style="37" customWidth="1"/>
    <col min="10" max="16384" width="11" style="37"/>
  </cols>
  <sheetData>
    <row r="1" spans="1:58" s="4" customFormat="1" ht="80" customHeight="1" x14ac:dyDescent="0.25">
      <c r="A1" s="3" t="s">
        <v>82</v>
      </c>
      <c r="B1" s="5"/>
      <c r="C1" s="5"/>
      <c r="D1" s="3" t="s">
        <v>117</v>
      </c>
      <c r="E1" s="7"/>
      <c r="F1" s="6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48" x14ac:dyDescent="0.2">
      <c r="A2" s="44"/>
      <c r="B2" s="43" t="s">
        <v>75</v>
      </c>
      <c r="C2" s="43" t="s">
        <v>74</v>
      </c>
      <c r="D2" s="43" t="s">
        <v>32</v>
      </c>
      <c r="E2" s="95" t="s">
        <v>73</v>
      </c>
      <c r="F2" s="95" t="s">
        <v>72</v>
      </c>
      <c r="G2" s="99" t="s">
        <v>71</v>
      </c>
      <c r="H2" s="100" t="s">
        <v>81</v>
      </c>
      <c r="I2" s="99" t="s">
        <v>70</v>
      </c>
      <c r="J2" s="99" t="s">
        <v>69</v>
      </c>
      <c r="K2" s="99" t="s">
        <v>68</v>
      </c>
      <c r="L2" s="99" t="s">
        <v>109</v>
      </c>
      <c r="M2" s="99" t="s">
        <v>110</v>
      </c>
      <c r="N2" s="99" t="s">
        <v>67</v>
      </c>
      <c r="O2" s="100" t="s">
        <v>80</v>
      </c>
      <c r="P2" s="99" t="s">
        <v>66</v>
      </c>
      <c r="Q2" s="99" t="s">
        <v>65</v>
      </c>
      <c r="R2" s="99" t="s">
        <v>111</v>
      </c>
      <c r="S2" s="99" t="s">
        <v>112</v>
      </c>
      <c r="T2" s="99" t="s">
        <v>64</v>
      </c>
      <c r="U2" s="100" t="s">
        <v>79</v>
      </c>
      <c r="V2" s="99" t="s">
        <v>63</v>
      </c>
      <c r="W2" s="99" t="s">
        <v>116</v>
      </c>
      <c r="X2" s="99" t="s">
        <v>62</v>
      </c>
      <c r="Y2" s="99" t="s">
        <v>61</v>
      </c>
      <c r="Z2" s="99" t="s">
        <v>60</v>
      </c>
      <c r="AA2" s="100" t="s">
        <v>78</v>
      </c>
    </row>
    <row r="3" spans="1:58" x14ac:dyDescent="0.2">
      <c r="A3" s="42"/>
      <c r="B3" s="41"/>
      <c r="C3" s="41"/>
      <c r="D3" s="45" t="s">
        <v>259</v>
      </c>
      <c r="E3" s="96" t="s">
        <v>59</v>
      </c>
      <c r="F3" s="96" t="s">
        <v>58</v>
      </c>
      <c r="G3" s="135" t="e">
        <f>SUM(SUMIFS(
INDEX( 'ETPT Format DDG'!$A:$ZZ,,MATCH("1. TOTAL CONTENTIEUX SOCIAL",'ETPT Format DDG'!2:2,0)),
INDEX( 'ETPT Format DDG'!$A:$ZZ,,MATCH("Fonction recodée",'ETPT Format DDG'!2:2,0)),"Fonctionnaire CTECH"))+
SUM(SUMIFS(
INDEX( 'ETPT Format DDG'!$A:$ZZ,,MATCH("2. TOTAL CONTENTIEUX COMMERCIAL",'ETPT Format DDG'!2:2,0)),
INDEX( 'ETPT Format DDG'!$A:$ZZ,,MATCH("Fonction recodée",'ETPT Format DDG'!2:2,0)),"Fonctionnaire CTECH"))+
SUM(SUMIFS(
INDEX( 'ETPT Format DDG'!$A:$ZZ,,MATCH("3. TOTAL CONTENTIEUX DE LA FAMILLE",'ETPT Format DDG'!2:2,0)),
INDEX( 'ETPT Format DDG'!$A:$ZZ,,MATCH("Fonction recodée",'ETPT Format DDG'!2:2,0)),"Fonctionnaire CTECH"))+
SUM(SUMIFS(
INDEX( 'ETPT Format DDG'!$A:$ZZ,,MATCH("4. TOTAL CONTENTIEUX DE LA PROTECTION",'ETPT Format DDG'!2:2,0)),
INDEX( 'ETPT Format DDG'!$A:$ZZ,,MATCH("Fonction recodée",'ETPT Format DDG'!2:2,0)),"Fonctionnaire CTECH"))+
SUM(SUMIFS(
INDEX( 'ETPT Format DDG'!$A:$ZZ,,MATCH("5. TOTAL CONTENTIEUX CIVIL NON SPÉCIALISÉ",'ETPT Format DDG'!2:2,0)),
INDEX( 'ETPT Format DDG'!$A:$ZZ,,MATCH("Fonction recodée",'ETPT Format DDG'!2:2,0)),"Fonctionnaire CTECH"))+
SUM(SUMIFS(
INDEX( 'ETPT Format DDG'!$A:$ZZ,,MATCH("12. TOTAL ATTRIBUTIONS DU PP",'ETPT Format DDG'!2:2,0)),
INDEX( 'ETPT Format DDG'!$A:$ZZ,,MATCH("Fonction recodée",'ETPT Format DDG'!2:2,0)),"Fonctionnaire CTECH"))-
SUM(SUMIFS(
INDEX( 'ETPT Format DDG'!$A:$ZZ,,MATCH("12.5. EXTRADITIONS ET MAE",'ETPT Format DDG'!2:2,0)),
INDEX( 'ETPT Format DDG'!$A:$ZZ,,MATCH("Fonction recodée",'ETPT Format DDG'!2:2,0)),"Fonctionnaire CTECH"))-
SUM(SUMIFS(
INDEX( 'ETPT Format DDG'!$A:$ZZ,,MATCH("12.6. SAISIES ET CONFISCATIONS DES AVOIRS CRIMINELS",'ETPT Format DDG'!2:2,0)),
INDEX( 'ETPT Format DDG'!$A:$ZZ,,MATCH("Fonction recodée",'ETPT Format DDG'!2:2,0)),"Fonctionnaire CTECH"))-
SUM(SUMIFS(
INDEX( 'ETPT Format DDG'!$A:$ZZ,,MATCH("12.9. AUTRES APPELS JLD",'ETPT Format DDG'!2:2,0)),
INDEX( 'ETPT Format DDG'!$A:$ZZ,,MATCH("Fonction recodée",'ETPT Format DDG'!2:2,0)),"Fonctionnaire CTECH"))+
SUM(SUMIFS(
INDEX( 'ETPT Format DDG'!$A:$ZZ,,MATCH("7.1. ACTIVITÉ CIVILE",'ETPT Format DDG'!2:2,0)),
INDEX( 'ETPT Format DDG'!$A:$ZZ,,MATCH("Fonction recodée",'ETPT Format DDG'!2:2,0)),"Fonctionnaire CTECH"))+
SUM(SUMIFS(
INDEX( 'ETPT Format DDG'!$A:$ZZ,,MATCH("13.9. FONCTIONNAIRES / AJ AFFECTÉS AUX ACTIVITÉS CIVILES ET COMMERCIALES DU PARQUET GÉNÉRAL",'ETPT Format DDG'!2:2,0)),
INDEX( 'ETPT Format DDG'!$A:$ZZ,,MATCH("Fonction recodée",'ETPT Format DDG'!2:2,0)),"Fonctionnaire CTECH"))</f>
        <v>#N/A</v>
      </c>
      <c r="H3" s="136">
        <f>_xlfn.AGGREGATE(9,6,G3)</f>
        <v>0</v>
      </c>
      <c r="I3" s="142" t="e">
        <f>SUM(SUMIFS(
INDEX( 'ETPT Format DDG'!$A:$ZZ,,MATCH("13.9. FONCTIONNAIRES / AJ AFFECTÉS AUX ACTIVITÉS CIVILES ET COMMERCIALES DU PARQUET GÉNÉRAL",'ETPT Format DDG'!2:2,0)),
INDEX( 'ETPT Format DDG'!$A:$ZZ,,MATCH("Fonction recodée",'ETPT Format DDG'!2:2,0)),"Fonctionnaire A-B-CBUR"))</f>
        <v>#N/A</v>
      </c>
      <c r="J3" s="135"/>
      <c r="K3" s="135"/>
      <c r="L3" s="135"/>
      <c r="M3" s="135" t="e">
        <f>SUM(SUMIFS(
INDEX( 'ETPT Format DDG'!$A:$ZZ,,MATCH("1. TOTAL CONTENTIEUX SOCIAL",'ETPT Format DDG'!2:2,0)),
INDEX( 'ETPT Format DDG'!$A:$ZZ,,MATCH("Fonction recodée",'ETPT Format DDG'!2:2,0)),"Fonctionnaire A-B-CBUR"))</f>
        <v>#N/A</v>
      </c>
      <c r="N3" s="142" t="e">
        <f>SUM(SUMIFS(
INDEX( 'ETPT Format DDG'!$A:$ZZ,,MATCH("2. TOTAL CONTENTIEUX COMMERCIAL",'ETPT Format DDG'!2:2,0)),
INDEX( 'ETPT Format DDG'!$A:$ZZ,,MATCH("Fonction recodée",'ETPT Format DDG'!2:2,0)),"Fonctionnaire A-B-CBUR"))+
SUM(SUMIFS(
INDEX( 'ETPT Format DDG'!$A:$ZZ,,MATCH("3. TOTAL CONTENTIEUX DE LA FAMILLE",'ETPT Format DDG'!2:2,0)),
INDEX( 'ETPT Format DDG'!$A:$ZZ,,MATCH("Fonction recodée",'ETPT Format DDG'!2:2,0)),"Fonctionnaire A-B-CBUR"))+
SUM(SUMIFS(
INDEX( 'ETPT Format DDG'!$A:$ZZ,,MATCH("4. TOTAL CONTENTIEUX DE LA PROTECTION",'ETPT Format DDG'!2:2,0)),
INDEX( 'ETPT Format DDG'!$A:$ZZ,,MATCH("Fonction recodée",'ETPT Format DDG'!2:2,0)),"Fonctionnaire A-B-CBUR"))+
SUM(SUMIFS(
INDEX( 'ETPT Format DDG'!$A:$ZZ,,MATCH("5. TOTAL CONTENTIEUX CIVIL NON SPÉCIALISÉ",'ETPT Format DDG'!2:2,0)),
INDEX( 'ETPT Format DDG'!$A:$ZZ,,MATCH("Fonction recodée",'ETPT Format DDG'!2:2,0)),"Fonctionnaire A-B-CBUR"))+
SUM(SUMIFS(
INDEX( 'ETPT Format DDG'!$A:$ZZ,,MATCH("12. TOTAL ATTRIBUTIONS DU PP",'ETPT Format DDG'!2:2,0)),
INDEX( 'ETPT Format DDG'!$A:$ZZ,,MATCH("Fonction recodée",'ETPT Format DDG'!2:2,0)),"Fonctionnaire A-B-CBUR"))-
SUM(SUMIFS(
INDEX( 'ETPT Format DDG'!$A:$ZZ,,MATCH("12.5. EXTRADITIONS ET MAE",'ETPT Format DDG'!2:2,0)),
INDEX( 'ETPT Format DDG'!$A:$ZZ,,MATCH("Fonction recodée",'ETPT Format DDG'!2:2,0)),"Fonctionnaire A-B-CBUR"))-
SUM(SUMIFS(
INDEX( 'ETPT Format DDG'!$A:$ZZ,,MATCH("12.6. SAISIES ET CONFISCATIONS DES AVOIRS CRIMINELS",'ETPT Format DDG'!2:2,0)),
INDEX( 'ETPT Format DDG'!$A:$ZZ,,MATCH("Fonction recodée",'ETPT Format DDG'!2:2,0)),"Fonctionnaire A-B-CBUR"))-
SUM(SUMIFS(
INDEX( 'ETPT Format DDG'!$A:$ZZ,,MATCH("12.9. AUTRES APPELS JLD",'ETPT Format DDG'!2:2,0)),
INDEX( 'ETPT Format DDG'!$A:$ZZ,,MATCH("Fonction recodée",'ETPT Format DDG'!2:2,0)),"Fonctionnaire A-B-CBUR"))+
SUM(SUMIFS(
INDEX( 'ETPT Format DDG'!$A:$ZZ,,MATCH("7.1. ACTIVITÉ CIVILE",'ETPT Format DDG'!2:2,0)),
INDEX( 'ETPT Format DDG'!$A:$ZZ,,MATCH("Fonction recodée",'ETPT Format DDG'!2:2,0)),"Fonctionnaire A-B-CBUR"))</f>
        <v>#N/A</v>
      </c>
      <c r="O3" s="136">
        <f>_xlfn.AGGREGATE(9,6,I3:N3)</f>
        <v>0</v>
      </c>
      <c r="P3" s="135"/>
      <c r="Q3" s="135"/>
      <c r="R3" s="135"/>
      <c r="S3" s="135" t="e">
        <f>SUM(SUMIFS(
INDEX( 'ETPT Format DDG'!$A:$ZZ,,MATCH("1. TOTAL CONTENTIEUX SOCIAL",'ETPT Format DDG'!2:2,0)),
INDEX( 'ETPT Format DDG'!$A:$ZZ,,MATCH("Fonction recodée",'ETPT Format DDG'!2:2,0)),"Magistrat SIEGE"))</f>
        <v>#N/A</v>
      </c>
      <c r="T3" s="142" t="e">
        <f>SUM(SUMIFS(
INDEX( 'ETPT Format DDG'!$A:$ZZ,,MATCH("2. TOTAL CONTENTIEUX COMMERCIAL",'ETPT Format DDG'!2:2,0)),
INDEX( 'ETPT Format DDG'!$A:$ZZ,,MATCH("Fonction recodée",'ETPT Format DDG'!2:2,0)),"Magistrat SIEGE"))+
SUM(SUMIFS(
INDEX( 'ETPT Format DDG'!$A:$ZZ,,MATCH("3. TOTAL CONTENTIEUX DE LA FAMILLE",'ETPT Format DDG'!2:2,0)),
INDEX( 'ETPT Format DDG'!$A:$ZZ,,MATCH("Fonction recodée",'ETPT Format DDG'!2:2,0)),"Magistrat SIEGE"))+
SUM(SUMIFS(
INDEX( 'ETPT Format DDG'!$A:$ZZ,,MATCH("4. TOTAL CONTENTIEUX DE LA PROTECTION",'ETPT Format DDG'!2:2,0)),
INDEX( 'ETPT Format DDG'!$A:$ZZ,,MATCH("Fonction recodée",'ETPT Format DDG'!2:2,0)),"Magistrat SIEGE"))+
SUM(SUMIFS(
INDEX( 'ETPT Format DDG'!$A:$ZZ,,MATCH("5. TOTAL CONTENTIEUX CIVIL NON SPÉCIALISÉ",'ETPT Format DDG'!2:2,0)),
INDEX( 'ETPT Format DDG'!$A:$ZZ,,MATCH("Fonction recodée",'ETPT Format DDG'!2:2,0)),"Magistrat SIEGE"))+
SUM(SUMIFS(
INDEX( 'ETPT Format DDG'!$A:$ZZ,,MATCH("12. TOTAL ATTRIBUTIONS DU PP",'ETPT Format DDG'!2:2,0)),
INDEX( 'ETPT Format DDG'!$A:$ZZ,,MATCH("Fonction recodée",'ETPT Format DDG'!2:2,0)),"Magistrat SIEGE"))-
SUM(SUMIFS(
INDEX( 'ETPT Format DDG'!$A:$ZZ,,MATCH("12.5. EXTRADITIONS ET MAE",'ETPT Format DDG'!2:2,0)),
INDEX( 'ETPT Format DDG'!$A:$ZZ,,MATCH("Fonction recodée",'ETPT Format DDG'!2:2,0)),"Magistrat SIEGE"))-
SUM(SUMIFS(
INDEX( 'ETPT Format DDG'!$A:$ZZ,,MATCH("12.6. SAISIES ET CONFISCATIONS DES AVOIRS CRIMINELS",'ETPT Format DDG'!2:2,0)),
INDEX( 'ETPT Format DDG'!$A:$ZZ,,MATCH("Fonction recodée",'ETPT Format DDG'!2:2,0)),"Magistrat SIEGE"))-
SUM(SUMIFS(
INDEX( 'ETPT Format DDG'!$A:$ZZ,,MATCH("12.9. AUTRES APPELS JLD",'ETPT Format DDG'!2:2,0)),
INDEX( 'ETPT Format DDG'!$A:$ZZ,,MATCH("Fonction recodée",'ETPT Format DDG'!2:2,0)),"Magistrat SIEGE"))+
SUM(SUMIFS(
INDEX( 'ETPT Format DDG'!$A:$ZZ,,MATCH("7.1. ACTIVITÉ CIVILE",'ETPT Format DDG'!2:2,0)),
INDEX( 'ETPT Format DDG'!$A:$ZZ,,MATCH("Fonction recodée",'ETPT Format DDG'!2:2,0)),"Magistrat SIEGE"))</f>
        <v>#N/A</v>
      </c>
      <c r="U3" s="136">
        <f>_xlfn.AGGREGATE(9,6,P3:T3)</f>
        <v>0</v>
      </c>
      <c r="V3" s="135"/>
      <c r="W3" s="135"/>
      <c r="X3" s="135"/>
      <c r="Y3" s="135"/>
      <c r="Z3" s="135"/>
      <c r="AA3" s="136">
        <f>_xlfn.AGGREGATE(9,6,V3:Z3)</f>
        <v>0</v>
      </c>
    </row>
    <row r="4" spans="1:58" x14ac:dyDescent="0.2">
      <c r="A4" s="42"/>
      <c r="B4" s="41"/>
      <c r="C4" s="41"/>
      <c r="D4" s="38" t="str">
        <f>IF(ISBLANK($D$3),"",$D$3)</f>
        <v>=ETPT_CA_JUR_DDG!$D$5</v>
      </c>
      <c r="E4" s="96" t="s">
        <v>57</v>
      </c>
      <c r="F4" s="96" t="s">
        <v>56</v>
      </c>
      <c r="G4" s="135" t="e">
        <f>SUM(SUMIFS(
INDEX( 'ETPT Format DDG'!$A:$ZZ,,MATCH("12.5. EXTRADITIONS ET MAE",'ETPT Format DDG'!2:2,0)),
INDEX( 'ETPT Format DDG'!$A:$ZZ,,MATCH("Fonction recodée",'ETPT Format DDG'!2:2,0)),"Fonctionnaire CTECH"))+
SUM(SUMIFS(
INDEX( 'ETPT Format DDG'!$A:$ZZ,,MATCH("12.6. SAISIES ET CONFISCATIONS DES AVOIRS CRIMINELS",'ETPT Format DDG'!2:2,0)),
INDEX( 'ETPT Format DDG'!$A:$ZZ,,MATCH("Fonction recodée",'ETPT Format DDG'!2:2,0)),"Fonctionnaire CTECH"))+
SUM(SUMIFS(
INDEX( 'ETPT Format DDG'!$A:$ZZ,,MATCH("12.9. AUTRES APPELS JLD",'ETPT Format DDG'!2:2,0)),
INDEX( 'ETPT Format DDG'!$A:$ZZ,,MATCH("Fonction recodée",'ETPT Format DDG'!2:2,0)),"Fonctionnaire CTECH"))+
SUM(SUMIFS(
INDEX( 'ETPT Format DDG'!$A:$ZZ,,MATCH("7.2. ACTIVITÉ PÉNALE",'ETPT Format DDG'!2:2,0)),
INDEX( 'ETPT Format DDG'!$A:$ZZ,,MATCH("Fonction recodée",'ETPT Format DDG'!2:2,0)),"Fonctionnaire CTECH"))+
SUM(SUMIFS(
INDEX( 'ETPT Format DDG'!$A:$ZZ,,MATCH("8. TOTAL CORRECTIONNEL",'ETPT Format DDG'!2:2,0)),
INDEX( 'ETPT Format DDG'!$A:$ZZ,,MATCH("Fonction recodée",'ETPT Format DDG'!2:2,0)),"Fonctionnaire CTECH"))+
SUM(SUMIFS(
INDEX( 'ETPT Format DDG'!$A:$ZZ,,MATCH("9. TOTAL INSTRUCTION ET ENTRAIDE",'ETPT Format DDG'!2:2,0)),
INDEX( 'ETPT Format DDG'!$A:$ZZ,,MATCH("Fonction recodée",'ETPT Format DDG'!2:2,0)),"Fonctionnaire CTECH"))+
SUM(SUMIFS(
INDEX( 'ETPT Format DDG'!$A:$ZZ,,MATCH("10. TOTAL APPLICATION DES PEINES",'ETPT Format DDG'!2:2,0)),
INDEX( 'ETPT Format DDG'!$A:$ZZ,,MATCH("Fonction recodée",'ETPT Format DDG'!2:2,0)),"Fonctionnaire CTECH"))+
SUM(SUMIFS(
INDEX( 'ETPT Format DDG'!$A:$ZZ,,MATCH("11. TOTAL CONTENTIEUX CRIMINEL",'ETPT Format DDG'!2:2,0)),
INDEX( 'ETPT Format DDG'!$A:$ZZ,,MATCH("Fonction recodée",'ETPT Format DDG'!2:2,0)),"Fonctionnaire CTECH"))+
SUM(SUMIFS(
INDEX( 'ETPT Format DDG'!$A:$ZZ,,MATCH("13.10. AUTRES FONCTIONNAIRES / AJ AFFECTÉS AU PARQUET GÉNÉRAL",'ETPT Format DDG'!2:2,0)),
INDEX( 'ETPT Format DDG'!$A:$ZZ,,MATCH("Fonction recodée",'ETPT Format DDG'!2:2,0)),"Fonctionnaire CTECH"))</f>
        <v>#N/A</v>
      </c>
      <c r="H4" s="136">
        <f t="shared" ref="H4:H13" si="0">_xlfn.AGGREGATE(9,6,G4)</f>
        <v>0</v>
      </c>
      <c r="I4" s="142"/>
      <c r="J4" s="135" t="e">
        <f>SUM(SUMIFS(
INDEX( 'ETPT Format DDG'!$A:$ZZ,,MATCH("11.1. ASSISES HORS JIRS",'ETPT Format DDG'!2:2,0)),
INDEX( 'ETPT Format DDG'!$A:$ZZ,,MATCH("Fonction recodée",'ETPT Format DDG'!2:2,0)),"Fonctionnaire A-B-CBUR"))+
SUM(SUMIFS(
INDEX( 'ETPT Format DDG'!$A:$ZZ,,MATCH("11.2 ASSISES JIRS",'ETPT Format DDG'!2:2,0)),
INDEX( 'ETPT Format DDG'!$A:$ZZ,,MATCH("Fonction recodée",'ETPT Format DDG'!2:2,0)),"Fonctionnaire A-B-CBUR"))</f>
        <v>#N/A</v>
      </c>
      <c r="K4" s="135" t="e">
        <f>SUM(SUMIFS(
INDEX( 'ETPT Format DDG'!$A:$ZZ,,MATCH("11.3. COUR CRIMINELLE DÉPARTEMENTALE",'ETPT Format DDG'!2:2,0)),
INDEX( 'ETPT Format DDG'!$A:$ZZ,,MATCH("Fonction recodée",'ETPT Format DDG'!2:2,0)),"Fonctionnaire A-B-CBUR"))</f>
        <v>#N/A</v>
      </c>
      <c r="L4" s="135" t="e">
        <f>SUM(SUMIFS(
INDEX( 'ETPT Format DDG'!$A:$ZZ,,MATCH("8.4. CONTENTIEUX JIRS CRIM-ORG",'ETPT Format DDG'!2:2,0)),
INDEX( 'ETPT Format DDG'!$A:$ZZ,,MATCH("Fonction recodée",'ETPT Format DDG'!2:2,0)),"Fonctionnaire A-B-CBUR"))+
SUM(SUMIFS(
INDEX( 'ETPT Format DDG'!$A:$ZZ,,MATCH("8.7. CONTENTIEUX JIRS ÉCO-FI",'ETPT Format DDG'!2:2,0)),
INDEX( 'ETPT Format DDG'!$A:$ZZ,,MATCH("Fonction recodée",'ETPT Format DDG'!2:2,0)),"Fonctionnaire A-B-CBUR"))+
SUM(SUMIFS(
INDEX( 'ETPT Format DDG'!$A:$ZZ,,MATCH("9.3. CONTENTIEUX DE LA DÉTENTION JIRS",'ETPT Format DDG'!2:2,0)),
INDEX( 'ETPT Format DDG'!$A:$ZZ,,MATCH("Fonction recodée",'ETPT Format DDG'!2:2,0)),"Fonctionnaire A-B-CBUR"))+
SUM(SUMIFS(
INDEX( 'ETPT Format DDG'!$A:$ZZ,,MATCH("9.5. CONTENTIEUX DU CONTRÔLE JUDICIAIRE JIRS",'ETPT Format DDG'!2:2,0)),
INDEX( 'ETPT Format DDG'!$A:$ZZ,,MATCH("Fonction recodée",'ETPT Format DDG'!2:2,0)),"Fonctionnaire A-B-CBUR"))+
SUM(SUMIFS(
INDEX( 'ETPT Format DDG'!$A:$ZZ,,MATCH("9.7. CONTENTIEUX DE FOND JIRS",'ETPT Format DDG'!2:2,0)),
INDEX( 'ETPT Format DDG'!$A:$ZZ,,MATCH("Fonction recodée",'ETPT Format DDG'!2:2,0)),"Fonctionnaire A-B-CBUR"))</f>
        <v>#N/A</v>
      </c>
      <c r="M4" s="135"/>
      <c r="N4" s="142" t="e">
        <f>SUM(SUMIFS(
INDEX( 'ETPT Format DDG'!$A:$ZZ,,MATCH("12.5. EXTRADITIONS ET MAE",'ETPT Format DDG'!2:2,0)),
INDEX( 'ETPT Format DDG'!$A:$ZZ,,MATCH("Fonction recodée",'ETPT Format DDG'!2:2,0)),"Fonctionnaire A-B-CBUR"))+
SUM(SUMIFS(
INDEX( 'ETPT Format DDG'!$A:$ZZ,,MATCH("12.6. SAISIES ET CONFISCATIONS DES AVOIRS CRIMINELS",'ETPT Format DDG'!2:2,0)),
INDEX( 'ETPT Format DDG'!$A:$ZZ,,MATCH("Fonction recodée",'ETPT Format DDG'!2:2,0)),"Fonctionnaire A-B-CBUR"))+
SUM(SUMIFS(
INDEX( 'ETPT Format DDG'!$A:$ZZ,,MATCH("12.9. AUTRES APPELS JLD",'ETPT Format DDG'!2:2,0)),
INDEX( 'ETPT Format DDG'!$A:$ZZ,,MATCH("Fonction recodée",'ETPT Format DDG'!2:2,0)),"Fonctionnaire A-B-CBUR"))+
SUM(SUMIFS(
INDEX( 'ETPT Format DDG'!$A:$ZZ,,MATCH("7.2. ACTIVITÉ PÉNALE",'ETPT Format DDG'!2:2,0)),
INDEX( 'ETPT Format DDG'!$A:$ZZ,,MATCH("Fonction recodée",'ETPT Format DDG'!2:2,0)),"Fonctionnaire A-B-CBUR"))+
SUM(SUMIFS(
INDEX( 'ETPT Format DDG'!$A:$ZZ,,MATCH("8. TOTAL CORRECTIONNEL",'ETPT Format DDG'!2:2,0)),
INDEX( 'ETPT Format DDG'!$A:$ZZ,,MATCH("Fonction recodée",'ETPT Format DDG'!2:2,0)),"Fonctionnaire A-B-CBUR"))+
SUM(SUMIFS(
INDEX( 'ETPT Format DDG'!$A:$ZZ,,MATCH("9. TOTAL INSTRUCTION ET ENTRAIDE",'ETPT Format DDG'!2:2,0)),
INDEX( 'ETPT Format DDG'!$A:$ZZ,,MATCH("Fonction recodée",'ETPT Format DDG'!2:2,0)),"Fonctionnaire A-B-CBUR"))+
SUM(SUMIFS(
INDEX( 'ETPT Format DDG'!$A:$ZZ,,MATCH("10. TOTAL APPLICATION DES PEINES",'ETPT Format DDG'!2:2,0)),
INDEX( 'ETPT Format DDG'!$A:$ZZ,,MATCH("Fonction recodée",'ETPT Format DDG'!2:2,0)),"Fonctionnaire A-B-CBUR"))+
SUM(SUMIFS(
INDEX( 'ETPT Format DDG'!$A:$ZZ,,MATCH("11. TOTAL CONTENTIEUX CRIMINEL",'ETPT Format DDG'!2:2,0)),
INDEX( 'ETPT Format DDG'!$A:$ZZ,,MATCH("Fonction recodée",'ETPT Format DDG'!2:2,0)),"Fonctionnaire A-B-CBUR"))+
SUM(SUMIFS(
INDEX( 'ETPT Format DDG'!$A:$ZZ,,MATCH("13.10. AUTRES FONCTIONNAIRES / AJ AFFECTÉS AU PARQUET GÉNÉRAL",'ETPT Format DDG'!2:2,0)),
INDEX( 'ETPT Format DDG'!$A:$ZZ,,MATCH("Fonction recodée",'ETPT Format DDG'!2:2,0)),"Fonctionnaire A-B-CBUR"))-
SUM(I4:M4)</f>
        <v>#N/A</v>
      </c>
      <c r="O4" s="136">
        <f t="shared" ref="O4:O14" si="1">_xlfn.AGGREGATE(9,6,I4:N4)</f>
        <v>0</v>
      </c>
      <c r="P4" s="135" t="e">
        <f>SUM(SUMIFS(
INDEX( 'ETPT Format DDG'!$A:$ZZ,,MATCH("11.1. ASSISES HORS JIRS",'ETPT Format DDG'!2:2,0)),
INDEX( 'ETPT Format DDG'!$A:$ZZ,,MATCH("Fonction recodée",'ETPT Format DDG'!2:2,0)),"Magistrat SIEGE"))+
SUM(SUMIFS(
INDEX( 'ETPT Format DDG'!$A:$ZZ,,MATCH("11.2 ASSISES JIRS",'ETPT Format DDG'!2:2,0)),
INDEX( 'ETPT Format DDG'!$A:$ZZ,,MATCH("Fonction recodée",'ETPT Format DDG'!2:2,0)),"Magistrat SIEGE"))</f>
        <v>#N/A</v>
      </c>
      <c r="Q4" s="135" t="e">
        <f>SUM(SUMIFS(
INDEX( 'ETPT Format DDG'!$A:$ZZ,,MATCH("11.3. COUR CRIMINELLE DÉPARTEMENTALE",'ETPT Format DDG'!2:2,0)),
INDEX( 'ETPT Format DDG'!$A:$ZZ,,MATCH("Fonction recodée",'ETPT Format DDG'!2:2,0)),"Magistrat SIEGE"))</f>
        <v>#N/A</v>
      </c>
      <c r="R4" s="135" t="e">
        <f>SUM(SUMIFS(
INDEX( 'ETPT Format DDG'!$A:$ZZ,,MATCH("8.4. CONTENTIEUX JIRS CRIM-ORG",'ETPT Format DDG'!2:2,0)),
INDEX( 'ETPT Format DDG'!$A:$ZZ,,MATCH("Fonction recodée",'ETPT Format DDG'!2:2,0)),"Magistrat SIEGE"))+
SUM(SUMIFS(
INDEX( 'ETPT Format DDG'!$A:$ZZ,,MATCH("8.7. CONTENTIEUX JIRS ÉCO-FI",'ETPT Format DDG'!2:2,0)),
INDEX( 'ETPT Format DDG'!$A:$ZZ,,MATCH("Fonction recodée",'ETPT Format DDG'!2:2,0)),"Magistrat SIEGE"))+
SUM(SUMIFS(
INDEX( 'ETPT Format DDG'!$A:$ZZ,,MATCH("9.3. CONTENTIEUX DE LA DÉTENTION JIRS",'ETPT Format DDG'!2:2,0)),
INDEX( 'ETPT Format DDG'!$A:$ZZ,,MATCH("Fonction recodée",'ETPT Format DDG'!2:2,0)),"Magistrat SIEGE"))+
SUM(SUMIFS(
INDEX( 'ETPT Format DDG'!$A:$ZZ,,MATCH("9.5. CONTENTIEUX DU CONTRÔLE JUDICIAIRE JIRS",'ETPT Format DDG'!2:2,0)),
INDEX( 'ETPT Format DDG'!$A:$ZZ,,MATCH("Fonction recodée",'ETPT Format DDG'!2:2,0)),"Magistrat SIEGE"))+
SUM(SUMIFS(
INDEX( 'ETPT Format DDG'!$A:$ZZ,,MATCH("9.7. CONTENTIEUX DE FOND JIRS",'ETPT Format DDG'!2:2,0)),
INDEX( 'ETPT Format DDG'!$A:$ZZ,,MATCH("Fonction recodée",'ETPT Format DDG'!2:2,0)),"Magistrat SIEGE"))</f>
        <v>#N/A</v>
      </c>
      <c r="S4" s="135"/>
      <c r="T4" s="142" t="e">
        <f>SUM(SUMIFS(
INDEX( 'ETPT Format DDG'!$A:$ZZ,,MATCH("12.5. EXTRADITIONS ET MAE",'ETPT Format DDG'!2:2,0)),
INDEX( 'ETPT Format DDG'!$A:$ZZ,,MATCH("Fonction recodée",'ETPT Format DDG'!2:2,0)),"Magistrat SIEGE"))+
SUM(SUMIFS(
INDEX( 'ETPT Format DDG'!$A:$ZZ,,MATCH("12.6. SAISIES ET CONFISCATIONS DES AVOIRS CRIMINELS",'ETPT Format DDG'!2:2,0)),
INDEX( 'ETPT Format DDG'!$A:$ZZ,,MATCH("Fonction recodée",'ETPT Format DDG'!2:2,0)),"Magistrat SIEGE"))+
SUM(SUMIFS(
INDEX( 'ETPT Format DDG'!$A:$ZZ,,MATCH("12.9. AUTRES APPELS JLD",'ETPT Format DDG'!2:2,0)),
INDEX( 'ETPT Format DDG'!$A:$ZZ,,MATCH("Fonction recodée",'ETPT Format DDG'!2:2,0)),"Magistrat SIEGE"))+
SUM(SUMIFS(
INDEX( 'ETPT Format DDG'!$A:$ZZ,,MATCH("7.2. ACTIVITÉ PÉNALE",'ETPT Format DDG'!2:2,0)),
INDEX( 'ETPT Format DDG'!$A:$ZZ,,MATCH("Fonction recodée",'ETPT Format DDG'!2:2,0)),"Magistrat SIEGE"))+
SUM(SUMIFS(
INDEX( 'ETPT Format DDG'!$A:$ZZ,,MATCH("8. TOTAL CORRECTIONNEL",'ETPT Format DDG'!2:2,0)),
INDEX( 'ETPT Format DDG'!$A:$ZZ,,MATCH("Fonction recodée",'ETPT Format DDG'!2:2,0)),"Magistrat SIEGE"))+
SUM(SUMIFS(
INDEX( 'ETPT Format DDG'!$A:$ZZ,,MATCH("9. TOTAL INSTRUCTION ET ENTRAIDE",'ETPT Format DDG'!2:2,0)),
INDEX( 'ETPT Format DDG'!$A:$ZZ,,MATCH("Fonction recodée",'ETPT Format DDG'!2:2,0)),"Magistrat SIEGE"))+
SUM(SUMIFS(
INDEX( 'ETPT Format DDG'!$A:$ZZ,,MATCH("10. TOTAL APPLICATION DES PEINES",'ETPT Format DDG'!2:2,0)),
INDEX( 'ETPT Format DDG'!$A:$ZZ,,MATCH("Fonction recodée",'ETPT Format DDG'!2:2,0)),"Magistrat SIEGE"))+
SUM(SUMIFS(
INDEX( 'ETPT Format DDG'!$A:$ZZ,,MATCH("11. TOTAL CONTENTIEUX CRIMINEL",'ETPT Format DDG'!2:2,0)),
INDEX( 'ETPT Format DDG'!$A:$ZZ,,MATCH("Fonction recodée",'ETPT Format DDG'!2:2,0)),"Magistrat SIEGE"))-
SUM(P4:S4)</f>
        <v>#N/A</v>
      </c>
      <c r="U4" s="136">
        <f t="shared" ref="U4:U14" si="2">_xlfn.AGGREGATE(9,6,P4:T4)</f>
        <v>0</v>
      </c>
      <c r="V4" s="135"/>
      <c r="W4" s="135"/>
      <c r="X4" s="135"/>
      <c r="Y4" s="135"/>
      <c r="Z4" s="135"/>
      <c r="AA4" s="136">
        <f t="shared" ref="AA4:AA13" si="3">_xlfn.AGGREGATE(9,6,V4:Z4)</f>
        <v>0</v>
      </c>
    </row>
    <row r="5" spans="1:58" x14ac:dyDescent="0.2">
      <c r="A5" s="42"/>
      <c r="B5" s="41"/>
      <c r="C5" s="41"/>
      <c r="D5" s="38" t="str">
        <f t="shared" ref="D5:D13" si="4">IF(ISBLANK($D$3),"",$D$3)</f>
        <v>=ETPT_CA_JUR_DDG!$D$5</v>
      </c>
      <c r="E5" s="96" t="s">
        <v>55</v>
      </c>
      <c r="F5" s="96" t="s">
        <v>54</v>
      </c>
      <c r="G5" s="135"/>
      <c r="H5" s="136">
        <f t="shared" si="0"/>
        <v>0</v>
      </c>
      <c r="I5" s="135"/>
      <c r="J5" s="135"/>
      <c r="K5" s="135"/>
      <c r="L5" s="135"/>
      <c r="M5" s="135"/>
      <c r="N5" s="135"/>
      <c r="O5" s="136">
        <f t="shared" si="1"/>
        <v>0</v>
      </c>
      <c r="P5" s="135"/>
      <c r="Q5" s="135"/>
      <c r="R5" s="135"/>
      <c r="S5" s="135"/>
      <c r="T5" s="135" t="e">
        <f>SUM(SUMIFS(
INDEX( 'ETPT Format DDG'!$A:$ZZ,,MATCH("13.4 CSM",'ETPT Format DDG'!2:2,0)),
INDEX( 'ETPT Format DDG'!$A:$ZZ,,MATCH("Fonction recodée",'ETPT Format DDG'!2:2,0)),"Magistrat SIEGE"))</f>
        <v>#N/A</v>
      </c>
      <c r="U5" s="136">
        <f t="shared" si="2"/>
        <v>0</v>
      </c>
      <c r="V5" s="135"/>
      <c r="W5" s="135"/>
      <c r="X5" s="135"/>
      <c r="Y5" s="135"/>
      <c r="Z5" s="135"/>
      <c r="AA5" s="136">
        <f t="shared" si="3"/>
        <v>0</v>
      </c>
    </row>
    <row r="6" spans="1:58" x14ac:dyDescent="0.2">
      <c r="A6" s="42"/>
      <c r="B6" s="41"/>
      <c r="C6" s="41"/>
      <c r="D6" s="38" t="str">
        <f t="shared" si="4"/>
        <v>=ETPT_CA_JUR_DDG!$D$5</v>
      </c>
      <c r="E6" s="96" t="s">
        <v>53</v>
      </c>
      <c r="F6" s="96" t="s">
        <v>52</v>
      </c>
      <c r="G6" s="135" t="e">
        <f>SUM(SUMIFS(
INDEX( 'ETPT Format DDG'!$A:$ZZ,,MATCH("13.8. ACCUEIL DU JUSTICIABLE",'ETPT Format DDG'!2:2,0)),
INDEX( 'ETPT Format DDG'!$A:$ZZ,,MATCH("Fonction recodée",'ETPT Format DDG'!2:2,0)),"Fonctionnaire CTECH"))</f>
        <v>#N/A</v>
      </c>
      <c r="H6" s="136">
        <f t="shared" si="0"/>
        <v>0</v>
      </c>
      <c r="I6" s="135"/>
      <c r="J6" s="135"/>
      <c r="K6" s="135"/>
      <c r="L6" s="135"/>
      <c r="M6" s="135"/>
      <c r="N6" s="135" t="e">
        <f>SUM(SUMIFS(
INDEX( 'ETPT Format DDG'!$A:$ZZ,,MATCH("13.8. ACCUEIL DU JUSTICIABLE",'ETPT Format DDG'!2:2,0)),
INDEX( 'ETPT Format DDG'!$A:$ZZ,,MATCH("Fonction recodée",'ETPT Format DDG'!2:2,0)),"Fonctionnaire A-B-CBUR"))</f>
        <v>#N/A</v>
      </c>
      <c r="O6" s="136">
        <f t="shared" si="1"/>
        <v>0</v>
      </c>
      <c r="P6" s="135"/>
      <c r="Q6" s="135"/>
      <c r="R6" s="135"/>
      <c r="S6" s="135"/>
      <c r="T6" s="142" t="e">
        <f>SUM(SUMIFS(
INDEX( 'ETPT Format DDG'!$A:$ZZ,,MATCH("13.8. ACCUEIL DU JUSTICIABLE",'ETPT Format DDG'!2:2,0)),
INDEX( 'ETPT Format DDG'!$A:$ZZ,,MATCH("Fonction recodée",'ETPT Format DDG'!2:2,0)),"Magistrat SIEGE"))</f>
        <v>#N/A</v>
      </c>
      <c r="U6" s="136">
        <f t="shared" si="2"/>
        <v>0</v>
      </c>
      <c r="V6" s="135"/>
      <c r="W6" s="135"/>
      <c r="X6" s="135"/>
      <c r="Y6" s="135"/>
      <c r="Z6" s="135"/>
      <c r="AA6" s="136">
        <f t="shared" si="3"/>
        <v>0</v>
      </c>
    </row>
    <row r="7" spans="1:58" x14ac:dyDescent="0.2">
      <c r="A7" s="42"/>
      <c r="B7" s="41"/>
      <c r="C7" s="41"/>
      <c r="D7" s="38" t="str">
        <f t="shared" si="4"/>
        <v>=ETPT_CA_JUR_DDG!$D$5</v>
      </c>
      <c r="E7" s="96" t="s">
        <v>51</v>
      </c>
      <c r="F7" s="96" t="s">
        <v>50</v>
      </c>
      <c r="G7" s="135" t="e">
        <f>SUM(SUMIFS(
INDEX( 'ETPT Format DDG'!$A:$ZZ,,MATCH("13.11. ACTIVITÉS EXTÉRIEURES ET PARTENARIATS",'ETPT Format DDG'!2:2,0)),
INDEX( 'ETPT Format DDG'!$A:$ZZ,,MATCH("Fonction recodée",'ETPT Format DDG'!2:2,0)),"Fonctionnaire CTECH"))+
SUM(SUMIFS(
INDEX( 'ETPT Format DDG'!$A:$ZZ,,MATCH("13.13. COMMUNICATION",'ETPT Format DDG'!2:2,0)),
INDEX( 'ETPT Format DDG'!$A:$ZZ,,MATCH("Fonction recodée",'ETPT Format DDG'!2:2,0)),"Fonctionnaire CTECH"))+
SUM(SUMIFS(
INDEX( 'ETPT Format DDG'!$A:$ZZ,,MATCH("13.12. ÉQUIPEMENT",'ETPT Format DDG'!2:2,0)),
INDEX( 'ETPT Format DDG'!$A:$ZZ,,MATCH("Fonction recodée",'ETPT Format DDG'!2:2,0)),"Fonctionnaire CTECH"))+
SUM(SUMIFS(
INDEX( 'ETPT Format DDG'!$A:$ZZ,,MATCH("13.5. EXPERTISES (SUIVI ET LISTES)",'ETPT Format DDG'!2:2,0)),
INDEX( 'ETPT Format DDG'!$A:$ZZ,,MATCH("Fonction recodée",'ETPT Format DDG'!2:2,0)),"Fonctionnaire CTECH"))+
SUM(SUMIFS(
INDEX( 'ETPT Format DDG'!$A:$ZZ,,MATCH("13.2. FORMATIONS SUIVIES",'ETPT Format DDG'!2:2,0)),
INDEX( 'ETPT Format DDG'!$A:$ZZ,,MATCH("Fonction recodée",'ETPT Format DDG'!2:2,0)),"Fonctionnaire CTECH"))+
SUM(SUMIFS(
INDEX( 'ETPT Format DDG'!$A:$ZZ,,MATCH("13.6. MÉDIATION / CONCILIATION (SUIVI ET LISTES)",'ETPT Format DDG'!2:2,0)),
INDEX( 'ETPT Format DDG'!$A:$ZZ,,MATCH("Fonction recodée",'ETPT Format DDG'!2:2,0)),"Fonctionnaire CTECH"))+
SUM(SUMIFS(
INDEX( 'ETPT Format DDG'!$A:$ZZ,,MATCH("13.14. POLITIQUE ASSOCIATIVE ET AIDE AUX VICTIMES",'ETPT Format DDG'!2:2,0)),
INDEX( 'ETPT Format DDG'!$A:$ZZ,,MATCH("Fonction recodée",'ETPT Format DDG'!2:2,0)),"Fonctionnaire CTECH"))+
SUM(SUMIFS(
INDEX( 'ETPT Format DDG'!$A:$ZZ,,MATCH("13.1. SOUTIEN (AUTRES)",'ETPT Format DDG'!2:2,0)),
INDEX( 'ETPT Format DDG'!$A:$ZZ,,MATCH("Fonction recodée",'ETPT Format DDG'!2:2,0)),"Fonctionnaire CTECH"))+
SUM(SUMIFS(
INDEX( 'ETPT Format DDG'!$A:$ZZ,,MATCH("13.15. AUTRES ACTIVITÉS NON JURIDICTIONNELLES",'ETPT Format DDG'!2:2,0)),
INDEX( 'ETPT Format DDG'!$A:$ZZ,,MATCH("Fonction recodée",'ETPT Format DDG'!2:2,0)),"Fonctionnaire CTECH"))</f>
        <v>#N/A</v>
      </c>
      <c r="H7" s="136">
        <f t="shared" si="0"/>
        <v>0</v>
      </c>
      <c r="I7" s="142"/>
      <c r="J7" s="135"/>
      <c r="K7" s="135"/>
      <c r="L7" s="135"/>
      <c r="M7" s="135"/>
      <c r="N7" s="135" t="e">
        <f>SUM(SUMIFS(
INDEX( 'ETPT Format DDG'!$A:$ZZ,,MATCH("13.11. ACTIVITÉS EXTÉRIEURES ET PARTENARIATS",'ETPT Format DDG'!2:2,0)),
INDEX( 'ETPT Format DDG'!$A:$ZZ,,MATCH("Fonction recodée",'ETPT Format DDG'!2:2,0)),"Fonctionnaire A-B-CBUR"))+
SUM(SUMIFS(
INDEX( 'ETPT Format DDG'!$A:$ZZ,,MATCH("13.13. COMMUNICATION",'ETPT Format DDG'!2:2,0)),
INDEX( 'ETPT Format DDG'!$A:$ZZ,,MATCH("Fonction recodée",'ETPT Format DDG'!2:2,0)),"Fonctionnaire A-B-CBUR"))+
SUM(SUMIFS(
INDEX( 'ETPT Format DDG'!$A:$ZZ,,MATCH("13.12. ÉQUIPEMENT",'ETPT Format DDG'!2:2,0)),
INDEX( 'ETPT Format DDG'!$A:$ZZ,,MATCH("Fonction recodée",'ETPT Format DDG'!2:2,0)),"Fonctionnaire A-B-CBUR"))+
SUM(SUMIFS(
INDEX( 'ETPT Format DDG'!$A:$ZZ,,MATCH("13.5. EXPERTISES (SUIVI ET LISTES)",'ETPT Format DDG'!2:2,0)),
INDEX( 'ETPT Format DDG'!$A:$ZZ,,MATCH("Fonction recodée",'ETPT Format DDG'!2:2,0)),"Fonctionnaire A-B-CBUR"))+
SUM(SUMIFS(
INDEX( 'ETPT Format DDG'!$A:$ZZ,,MATCH("13.2. FORMATIONS SUIVIES",'ETPT Format DDG'!2:2,0)),
INDEX( 'ETPT Format DDG'!$A:$ZZ,,MATCH("Fonction recodée",'ETPT Format DDG'!2:2,0)),"Fonctionnaire A-B-CBUR"))+
SUM(SUMIFS(
INDEX( 'ETPT Format DDG'!$A:$ZZ,,MATCH("13.6. MÉDIATION / CONCILIATION (SUIVI ET LISTES)",'ETPT Format DDG'!2:2,0)),
INDEX( 'ETPT Format DDG'!$A:$ZZ,,MATCH("Fonction recodée",'ETPT Format DDG'!2:2,0)),"Fonctionnaire A-B-CBUR"))+
SUM(SUMIFS(
INDEX( 'ETPT Format DDG'!$A:$ZZ,,MATCH("13.14. POLITIQUE ASSOCIATIVE ET AIDE AUX VICTIMES",'ETPT Format DDG'!2:2,0)),
INDEX( 'ETPT Format DDG'!$A:$ZZ,,MATCH("Fonction recodée",'ETPT Format DDG'!2:2,0)),"Fonctionnaire A-B-CBUR"))+
SUM(SUMIFS(
INDEX( 'ETPT Format DDG'!$A:$ZZ,,MATCH("13.1. SOUTIEN (AUTRES)",'ETPT Format DDG'!2:2,0)),
INDEX( 'ETPT Format DDG'!$A:$ZZ,,MATCH("Fonction recodée",'ETPT Format DDG'!2:2,0)),"Fonctionnaire A-B-CBUR"))+
SUM(SUMIFS(
INDEX( 'ETPT Format DDG'!$A:$ZZ,,MATCH("13.15. AUTRES ACTIVITÉS NON JURIDICTIONNELLES",'ETPT Format DDG'!2:2,0)),
INDEX( 'ETPT Format DDG'!$A:$ZZ,,MATCH("Fonction recodée",'ETPT Format DDG'!2:2,0)),"Fonctionnaire A-B-CBUR"))</f>
        <v>#N/A</v>
      </c>
      <c r="O7" s="136">
        <f t="shared" si="1"/>
        <v>0</v>
      </c>
      <c r="P7" s="135"/>
      <c r="Q7" s="135"/>
      <c r="R7" s="135"/>
      <c r="S7" s="135"/>
      <c r="T7" s="135" t="e">
        <f>SUM(SUMIFS(
INDEX( 'ETPT Format DDG'!$A:$ZZ,,MATCH("13.11. ACTIVITÉS EXTÉRIEURES ET PARTENARIATS",'ETPT Format DDG'!2:2,0)),
INDEX( 'ETPT Format DDG'!$A:$ZZ,,MATCH("Fonction recodée",'ETPT Format DDG'!2:2,0)),"Magistrat SIEGE"))+
SUM(SUMIFS(
INDEX( 'ETPT Format DDG'!$A:$ZZ,,MATCH("13.13. COMMUNICATION",'ETPT Format DDG'!2:2,0)),
INDEX( 'ETPT Format DDG'!$A:$ZZ,,MATCH("Fonction recodée",'ETPT Format DDG'!2:2,0)),"Magistrat SIEGE"))+
SUM(SUMIFS(
INDEX( 'ETPT Format DDG'!$A:$ZZ,,MATCH("13.12. ÉQUIPEMENT",'ETPT Format DDG'!2:2,0)),
INDEX( 'ETPT Format DDG'!$A:$ZZ,,MATCH("Fonction recodée",'ETPT Format DDG'!2:2,0)),"Magistrat SIEGE"))+
SUM(SUMIFS(
INDEX( 'ETPT Format DDG'!$A:$ZZ,,MATCH("13.5. EXPERTISES (SUIVI ET LISTES)",'ETPT Format DDG'!2:2,0)),
INDEX( 'ETPT Format DDG'!$A:$ZZ,,MATCH("Fonction recodée",'ETPT Format DDG'!2:2,0)),"Magistrat SIEGE"))+
SUM(SUMIFS(
INDEX( 'ETPT Format DDG'!$A:$ZZ,,MATCH("13.2. FORMATIONS SUIVIES",'ETPT Format DDG'!2:2,0)),
INDEX( 'ETPT Format DDG'!$A:$ZZ,,MATCH("Fonction recodée",'ETPT Format DDG'!2:2,0)),"Magistrat SIEGE"))+
SUM(SUMIFS(
INDEX( 'ETPT Format DDG'!$A:$ZZ,,MATCH("13.6. MÉDIATION / CONCILIATION (SUIVI ET LISTES)",'ETPT Format DDG'!2:2,0)),
INDEX( 'ETPT Format DDG'!$A:$ZZ,,MATCH("Fonction recodée",'ETPT Format DDG'!2:2,0)),"Magistrat SIEGE"))+
SUM(SUMIFS(
INDEX( 'ETPT Format DDG'!$A:$ZZ,,MATCH("13.14. POLITIQUE ASSOCIATIVE ET AIDE AUX VICTIMES",'ETPT Format DDG'!2:2,0)),
INDEX( 'ETPT Format DDG'!$A:$ZZ,,MATCH("Fonction recodée",'ETPT Format DDG'!2:2,0)),"Magistrat SIEGE"))+
SUM(SUMIFS(
INDEX( 'ETPT Format DDG'!$A:$ZZ,,MATCH("13.1. SOUTIEN (AUTRES)",'ETPT Format DDG'!2:2,0)),
INDEX( 'ETPT Format DDG'!$A:$ZZ,,MATCH("Fonction recodée",'ETPT Format DDG'!2:2,0)),"Magistrat SIEGE"))+
SUM(SUMIFS(
INDEX( 'ETPT Format DDG'!$A:$ZZ,,MATCH("13.15. AUTRES ACTIVITÉS NON JURIDICTIONNELLES",'ETPT Format DDG'!2:2,0)),
INDEX( 'ETPT Format DDG'!$A:$ZZ,,MATCH("Fonction recodée",'ETPT Format DDG'!2:2,0)),"Magistrat SIEGE"))</f>
        <v>#N/A</v>
      </c>
      <c r="U7" s="136">
        <f t="shared" si="2"/>
        <v>0</v>
      </c>
      <c r="V7" s="135"/>
      <c r="W7" s="135"/>
      <c r="X7" s="135"/>
      <c r="Y7" s="135"/>
      <c r="Z7" s="135"/>
      <c r="AA7" s="136">
        <f t="shared" si="3"/>
        <v>0</v>
      </c>
    </row>
    <row r="8" spans="1:58" x14ac:dyDescent="0.2">
      <c r="A8" s="42"/>
      <c r="B8" s="41"/>
      <c r="C8" s="41"/>
      <c r="D8" s="38" t="str">
        <f t="shared" si="4"/>
        <v>=ETPT_CA_JUR_DDG!$D$5</v>
      </c>
      <c r="E8" s="96" t="s">
        <v>49</v>
      </c>
      <c r="F8" s="96" t="s">
        <v>48</v>
      </c>
      <c r="G8" s="135" t="e">
        <f>SUM(SUMIFS(
INDEX( 'ETPT Format DDG'!$A:$ZZ,,MATCH("13.3. FORMATIONS DISPENSÉES",'ETPT Format DDG'!2:2,0)),
INDEX( 'ETPT Format DDG'!$A:$ZZ,,MATCH("Fonction recodée",'ETPT Format DDG'!2:2,0)),"Fonctionnaire CTECH"))</f>
        <v>#N/A</v>
      </c>
      <c r="H8" s="136">
        <f t="shared" si="0"/>
        <v>0</v>
      </c>
      <c r="I8" s="135"/>
      <c r="J8" s="135"/>
      <c r="K8" s="135"/>
      <c r="L8" s="135"/>
      <c r="M8" s="135"/>
      <c r="N8" s="135" t="e">
        <f>SUM(SUMIFS(
INDEX( 'ETPT Format DDG'!$A:$ZZ,,MATCH("13.3. FORMATIONS DISPENSÉES",'ETPT Format DDG'!2:2,0)),
INDEX( 'ETPT Format DDG'!$A:$ZZ,,MATCH("Fonction recodée",'ETPT Format DDG'!2:2,0)),"Fonctionnaire A-B-CBUR"))</f>
        <v>#N/A</v>
      </c>
      <c r="O8" s="136">
        <f t="shared" si="1"/>
        <v>0</v>
      </c>
      <c r="P8" s="135"/>
      <c r="Q8" s="135"/>
      <c r="R8" s="135"/>
      <c r="S8" s="135"/>
      <c r="T8" s="135" t="e">
        <f>SUM(SUMIFS(
INDEX( 'ETPT Format DDG'!$A:$ZZ,,MATCH("13.3. FORMATIONS DISPENSÉES",'ETPT Format DDG'!2:2,0)),
INDEX( 'ETPT Format DDG'!$A:$ZZ,,MATCH("Fonction recodée",'ETPT Format DDG'!2:2,0)),"Magistrat SIEGE"))</f>
        <v>#N/A</v>
      </c>
      <c r="U8" s="136">
        <f t="shared" si="2"/>
        <v>0</v>
      </c>
      <c r="V8" s="135"/>
      <c r="W8" s="135"/>
      <c r="X8" s="135"/>
      <c r="Y8" s="135"/>
      <c r="Z8" s="135"/>
      <c r="AA8" s="136">
        <f t="shared" si="3"/>
        <v>0</v>
      </c>
    </row>
    <row r="9" spans="1:58" x14ac:dyDescent="0.2">
      <c r="A9" s="42"/>
      <c r="B9" s="41"/>
      <c r="C9" s="41"/>
      <c r="D9" s="38" t="str">
        <f t="shared" si="4"/>
        <v>=ETPT_CA_JUR_DDG!$D$5</v>
      </c>
      <c r="E9" s="96" t="s">
        <v>47</v>
      </c>
      <c r="F9" s="96" t="s">
        <v>46</v>
      </c>
      <c r="G9" s="135" t="e">
        <f>SUM(SUMIFS(
INDEX( 'ETPT Format DDG'!$A:$ZZ,,MATCH("13.7. ACCÈS AU DROIT ET À LA JUSTICE",'ETPT Format DDG'!2:2,0)),
INDEX( 'ETPT Format DDG'!$A:$ZZ,,MATCH("Fonction recodée",'ETPT Format DDG'!2:2,0)),"Fonctionnaire CTECH"))</f>
        <v>#N/A</v>
      </c>
      <c r="H9" s="136">
        <f t="shared" si="0"/>
        <v>0</v>
      </c>
      <c r="I9" s="135"/>
      <c r="J9" s="135"/>
      <c r="K9" s="135"/>
      <c r="L9" s="135"/>
      <c r="M9" s="135"/>
      <c r="N9" s="135" t="e">
        <f>SUM(SUMIFS(
INDEX( 'ETPT Format DDG'!$A:$ZZ,,MATCH("13.7. ACCÈS AU DROIT ET À LA JUSTICE",'ETPT Format DDG'!2:2,0)),
INDEX( 'ETPT Format DDG'!$A:$ZZ,,MATCH("Fonction recodée",'ETPT Format DDG'!2:2,0)),"Fonctionnaire A-B-CBUR"))</f>
        <v>#N/A</v>
      </c>
      <c r="O9" s="136">
        <f t="shared" si="1"/>
        <v>0</v>
      </c>
      <c r="P9" s="135"/>
      <c r="Q9" s="135"/>
      <c r="R9" s="135"/>
      <c r="S9" s="135"/>
      <c r="T9" s="135" t="e">
        <f>SUM(SUMIFS(
INDEX( 'ETPT Format DDG'!$A:$ZZ,,MATCH("13.7. ACCÈS AU DROIT ET À LA JUSTICE",'ETPT Format DDG'!2:2,0)),
INDEX( 'ETPT Format DDG'!$A:$ZZ,,MATCH("Fonction recodée",'ETPT Format DDG'!2:2,0)),"Magistrat SIEGE"))</f>
        <v>#N/A</v>
      </c>
      <c r="U9" s="136">
        <f t="shared" si="2"/>
        <v>0</v>
      </c>
      <c r="V9" s="135"/>
      <c r="W9" s="135"/>
      <c r="X9" s="135"/>
      <c r="Y9" s="135"/>
      <c r="Z9" s="135"/>
      <c r="AA9" s="136">
        <f t="shared" si="3"/>
        <v>0</v>
      </c>
    </row>
    <row r="10" spans="1:58" x14ac:dyDescent="0.2">
      <c r="A10" s="42"/>
      <c r="B10" s="41"/>
      <c r="C10" s="41"/>
      <c r="D10" s="38" t="str">
        <f t="shared" si="4"/>
        <v>=ETPT_CA_JUR_DDG!$D$5</v>
      </c>
      <c r="E10" s="96" t="s">
        <v>45</v>
      </c>
      <c r="F10" s="96" t="s">
        <v>44</v>
      </c>
      <c r="G10" s="135" t="e">
        <f>SUM(SUMIFS(
INDEX( 'ETPT Format DDG'!$A:$ZZ,,MATCH("14. TOTAL des INDISPONIBILITÉS relevant de l'action 99",'ETPT Format DDG'!2:2,0)),
INDEX( 'ETPT Format DDG'!$A:$ZZ,,MATCH("Fonction recodée",'ETPT Format DDG'!2:2,0)),"Fonctionnaire CTECH"))-
SUM(SUMIFS(
INDEX( 'ETPT Format DDG'!$A:$ZZ,,MATCH("14.9. MISE À DISPOSITION",'ETPT Format DDG'!2:2,0)),
INDEX( 'ETPT Format DDG'!$A:$ZZ,,MATCH("Fonction recodée",'ETPT Format DDG'!2:2,0)),"Fonctionnaire CTECH"))</f>
        <v>#N/A</v>
      </c>
      <c r="H10" s="136">
        <f t="shared" si="0"/>
        <v>0</v>
      </c>
      <c r="I10" s="135"/>
      <c r="J10" s="135"/>
      <c r="K10" s="135"/>
      <c r="L10" s="135"/>
      <c r="M10" s="135"/>
      <c r="N10" s="135" t="e">
        <f>SUM(SUMIFS(
INDEX( 'ETPT Format DDG'!$A:$ZZ,,MATCH("14. TOTAL des INDISPONIBILITÉS relevant de l'action 99",'ETPT Format DDG'!2:2,0)),
INDEX( 'ETPT Format DDG'!$A:$ZZ,,MATCH("Fonction recodée",'ETPT Format DDG'!2:2,0)),"Fonctionnaire A-B-CBUR"))-
SUM(SUMIFS(
INDEX( 'ETPT Format DDG'!$A:$ZZ,,MATCH("14.9. MISE À DISPOSITION",'ETPT Format DDG'!2:2,0)),
INDEX( 'ETPT Format DDG'!$A:$ZZ,,MATCH("Fonction recodée",'ETPT Format DDG'!2:2,0)),"Fonctionnaire A-B-CBUR"))</f>
        <v>#N/A</v>
      </c>
      <c r="O10" s="136">
        <f t="shared" si="1"/>
        <v>0</v>
      </c>
      <c r="P10" s="135"/>
      <c r="Q10" s="135"/>
      <c r="R10" s="135"/>
      <c r="S10" s="135"/>
      <c r="T10" s="135" t="e">
        <f>SUM(SUMIFS(
INDEX( 'ETPT Format DDG'!$A:$ZZ,,MATCH("14. TOTAL des INDISPONIBILITÉS relevant de l'action 99",'ETPT Format DDG'!2:2,0)),
INDEX( 'ETPT Format DDG'!$A:$ZZ,,MATCH("Fonction recodée",'ETPT Format DDG'!2:2,0)),"Magistrat SIEGE"))-
SUM(SUMIFS(
INDEX( 'ETPT Format DDG'!$A:$ZZ,,MATCH("14.9. MISE À DISPOSITION",'ETPT Format DDG'!2:2,0)),
INDEX( 'ETPT Format DDG'!$A:$ZZ,,MATCH("Fonction recodée",'ETPT Format DDG'!2:2,0)),"Magistrat SIEGE"))</f>
        <v>#N/A</v>
      </c>
      <c r="U10" s="136">
        <f t="shared" si="2"/>
        <v>0</v>
      </c>
      <c r="V10" s="135"/>
      <c r="W10" s="135"/>
      <c r="X10" s="135"/>
      <c r="Y10" s="135"/>
      <c r="Z10" s="135"/>
      <c r="AA10" s="136">
        <f t="shared" si="3"/>
        <v>0</v>
      </c>
    </row>
    <row r="11" spans="1:58" x14ac:dyDescent="0.2">
      <c r="A11" s="42"/>
      <c r="B11" s="41"/>
      <c r="C11" s="41"/>
      <c r="D11" s="38" t="str">
        <f>IF(ISBLANK($D$3),"",$D$3)</f>
        <v>=ETPT_CA_JUR_DDG!$D$5</v>
      </c>
      <c r="E11" s="96" t="s">
        <v>43</v>
      </c>
      <c r="F11" s="96" t="s">
        <v>42</v>
      </c>
      <c r="G11" s="135" t="e">
        <f>SUM(SUMIFS(
INDEX( 'ETPT Format DDG'!$A:$ZZ,,MATCH("14.9. MISE À DISPOSITION",'ETPT Format DDG'!2:2,0)),
INDEX( 'ETPT Format DDG'!$A:$ZZ,,MATCH("Fonction recodée",'ETPT Format DDG'!2:2,0)),"Fonctionnaire CTECH"))</f>
        <v>#N/A</v>
      </c>
      <c r="H11" s="136">
        <f t="shared" si="0"/>
        <v>0</v>
      </c>
      <c r="I11" s="135"/>
      <c r="J11" s="135"/>
      <c r="K11" s="135"/>
      <c r="L11" s="135"/>
      <c r="M11" s="135"/>
      <c r="N11" s="135" t="e">
        <f>SUM(SUMIFS(
INDEX( 'ETPT Format DDG'!$A:$ZZ,,MATCH("14.9. MISE À DISPOSITION",'ETPT Format DDG'!2:2,0)),
INDEX( 'ETPT Format DDG'!$A:$ZZ,,MATCH("Fonction recodée",'ETPT Format DDG'!2:2,0)),"Fonctionnaire A-B-CBUR"))</f>
        <v>#N/A</v>
      </c>
      <c r="O11" s="136">
        <f t="shared" si="1"/>
        <v>0</v>
      </c>
      <c r="P11" s="135"/>
      <c r="Q11" s="135"/>
      <c r="R11" s="135"/>
      <c r="S11" s="135"/>
      <c r="T11" s="135" t="e">
        <f>SUM(SUMIFS(
INDEX( 'ETPT Format DDG'!$A:$ZZ,,MATCH("14.9. MISE À DISPOSITION",'ETPT Format DDG'!2:2,0)),
INDEX( 'ETPT Format DDG'!$A:$ZZ,,MATCH("Fonction recodée",'ETPT Format DDG'!2:2,0)),"Magistrat SIEGE"))</f>
        <v>#N/A</v>
      </c>
      <c r="U11" s="136">
        <f t="shared" si="2"/>
        <v>0</v>
      </c>
      <c r="V11" s="135"/>
      <c r="W11" s="135"/>
      <c r="X11" s="135"/>
      <c r="Y11" s="135"/>
      <c r="Z11" s="135"/>
      <c r="AA11" s="136">
        <f t="shared" si="3"/>
        <v>0</v>
      </c>
    </row>
    <row r="12" spans="1:58" x14ac:dyDescent="0.2">
      <c r="A12" s="40"/>
      <c r="B12" s="39"/>
      <c r="C12" s="39"/>
      <c r="D12" s="38" t="str">
        <f>IF(ISBLANK($D$3),"",$D$3)</f>
        <v>=ETPT_CA_JUR_DDG!$D$5</v>
      </c>
      <c r="E12" s="96" t="s">
        <v>41</v>
      </c>
      <c r="F12" s="96" t="s">
        <v>40</v>
      </c>
      <c r="G12" s="135" t="e">
        <f>SUM(SUMIFS(
INDEX('ETPT A-JUST'!$A:$ZZ,,MATCH("Temps ventilés sur la période (absentéisme et action 99 déduits)",'ETPT A-JUST'!2:2,0)),
INDEX('ETPT A-JUST'!$A:$ZZ,,MATCH("Fonction recodée",'ETPT A-JUST'!2:2,0)),"Fonctionnaire CTECH placé ADD"))</f>
        <v>#N/A</v>
      </c>
      <c r="H12" s="136">
        <f t="shared" si="0"/>
        <v>0</v>
      </c>
      <c r="I12" s="135" t="e">
        <f>SUM(SUMIFS(
INDEX('ETPT A-JUST'!$A:$ZZ,,MATCH("13.9. FONCTIONNAIRES / AJ AFFECTÉS AUX ACTIVITÉS CIVILES ET COMMERCIALES DU PARQUET GÉNÉRAL",'ETPT A-JUST'!2:2,0)),
INDEX('ETPT A-JUST'!$A:$ZZ,,MATCH("Fonction recodée",'ETPT A-JUST'!2:2,0)),"Fonctionnaire A-B-CBUR placé ADD"))</f>
        <v>#N/A</v>
      </c>
      <c r="J12" s="135" t="e">
        <f>SUM(SUMIFS(
INDEX('ETPT A-JUST'!$A:$ZZ,,MATCH("11.1. ASSISES HORS JIRS",'ETPT A-JUST'!2:2,0)),
INDEX('ETPT A-JUST'!$A:$ZZ,,MATCH("Fonction recodée",'ETPT A-JUST'!2:2,0)),"Fonctionnaire A-B-CBUR placé ADD"))+
SUM(SUMIFS(
INDEX('ETPT A-JUST'!$A:$ZZ,,MATCH("11.2 ASSISES JIRS",'ETPT A-JUST'!2:2,0)),
INDEX('ETPT A-JUST'!$A:$ZZ,,MATCH("Fonction recodée",'ETPT A-JUST'!2:2,0)),"Fonctionnaire A-B-CBUR placé ADD"))</f>
        <v>#N/A</v>
      </c>
      <c r="K12" s="135" t="e">
        <f>SUM(SUMIFS(
INDEX('ETPT A-JUST'!$A:$ZZ,,MATCH("11.3. COUR CRIMINELLE DÉPARTEMENTALE",'ETPT A-JUST'!2:2,0)),
INDEX('ETPT A-JUST'!$A:$ZZ,,MATCH("Fonction recodée",'ETPT A-JUST'!2:2,0)),"Fonctionnaire A-B-CBUR placé ADD"))</f>
        <v>#N/A</v>
      </c>
      <c r="L12" s="135" t="e">
        <f>SUM(SUMIFS(
INDEX( 'ETPT A-JUST'!$A:$ZZ,,MATCH("8.4. CONTENTIEUX JIRS CRIM-ORG",'ETPT A-JUST'!2:2,0)),
INDEX( 'ETPT A-JUST'!$A:$ZZ,,MATCH("Fonction recodée",'ETPT A-JUST'!2:2,0)),"Fonctionnaire A-B-CBUR placé ADD"))+
SUM(SUMIFS(
INDEX( 'ETPT A-JUST'!$A:$ZZ,,MATCH("8.7. CONTENTIEUX JIRS ÉCO-FI",'ETPT A-JUST'!2:2,0)),
INDEX( 'ETPT A-JUST'!$A:$ZZ,,MATCH("Fonction recodée",'ETPT A-JUST'!2:2,0)),"Fonctionnaire A-B-CBUR placé ADD"))+
SUM(SUMIFS(
INDEX( 'ETPT A-JUST'!$A:$ZZ,,MATCH("9.3. CONTENTIEUX DE LA DÉTENTION JIRS",'ETPT A-JUST'!2:2,0)),
INDEX( 'ETPT A-JUST'!$A:$ZZ,,MATCH("Fonction recodée",'ETPT A-JUST'!2:2,0)),"Fonctionnaire A-B-CBUR placé ADD"))+
SUM(SUMIFS(
INDEX( 'ETPT A-JUST'!$A:$ZZ,,MATCH("9.5. CONTENTIEUX DU CONTRÔLE JUDICIAIRE JIRS",'ETPT A-JUST'!2:2,0)),
INDEX( 'ETPT A-JUST'!$A:$ZZ,,MATCH("Fonction recodée",'ETPT A-JUST'!2:2,0)),"Fonctionnaire A-B-CBUR placé ADD"))+
SUM(SUMIFS(
INDEX( 'ETPT A-JUST'!$A:$ZZ,,MATCH("9.7. CONTENTIEUX DE FOND JIRS",'ETPT A-JUST'!2:2,0)),
INDEX( 'ETPT A-JUST'!$A:$ZZ,,MATCH("Fonction recodée",'ETPT A-JUST'!2:2,0)),"Fonctionnaire A-B-CBUR placé ADD"))</f>
        <v>#N/A</v>
      </c>
      <c r="M12" s="135" t="e">
        <f>SUM(SUMIFS(
INDEX( 'ETPT A-JUST'!$A:$ZZ,,MATCH("1. TOTAL CONTENTIEUX SOCIAL",'ETPT A-JUST'!2:2,0)),
INDEX( 'ETPT A-JUST'!$A:$ZZ,,MATCH("Fonction recodée",'ETPT A-JUST'!2:2,0)),"Fonctionnaire A-B-CBUR placé ADD"))</f>
        <v>#N/A</v>
      </c>
      <c r="N12" s="135" t="e">
        <f>SUM(SUMIFS(
INDEX('ETPT A-JUST'!$A:$ZZ,,MATCH("Temps ventilés sur la période (absentéisme et action 99 déduits)",'ETPT A-JUST'!2:2,0)),
INDEX('ETPT A-JUST'!$A:$ZZ,,MATCH("Fonction recodée",'ETPT A-JUST'!2:2,0)),"Fonctionnaire A-B-CBUR placé ADD"))-
SUM(I12:M12)</f>
        <v>#N/A</v>
      </c>
      <c r="O12" s="136">
        <f t="shared" si="1"/>
        <v>0</v>
      </c>
      <c r="P12" s="135" t="e">
        <f>SUM(SUMIFS(
INDEX('ETPT A-JUST'!$A:$ZZ,,MATCH("11.1. ASSISES HORS JIRS",'ETPT A-JUST'!2:2,0)),
INDEX('ETPT A-JUST'!$A:$ZZ,,MATCH("Fonction recodée",'ETPT A-JUST'!2:2,0)),"Magistrat placé ADD"))+
SUM(SUMIFS(
INDEX('ETPT A-JUST'!$A:$ZZ,,MATCH("11.2 ASSISES JIRS",'ETPT A-JUST'!2:2,0)),
INDEX('ETPT A-JUST'!$A:$ZZ,,MATCH("Fonction recodée",'ETPT A-JUST'!2:2,0)),"Magistrat placé ADD"))</f>
        <v>#N/A</v>
      </c>
      <c r="Q12" s="135" t="e">
        <f>SUM(SUMIFS(
INDEX('ETPT A-JUST'!$A:$ZZ,,MATCH("11.3. COUR CRIMINELLE DÉPARTEMENTALE",'ETPT A-JUST'!2:2,0)),
INDEX('ETPT A-JUST'!$A:$ZZ,,MATCH("Fonction recodée",'ETPT A-JUST'!2:2,0)),"Magistrat placé ADD"))</f>
        <v>#N/A</v>
      </c>
      <c r="R12" s="135" t="e">
        <f>SUM(SUMIFS(
INDEX( 'ETPT A-JUST'!$A:$ZZ,,MATCH("8.4. CONTENTIEUX JIRS CRIM-ORG",'ETPT A-JUST'!2:2,0)),
INDEX( 'ETPT A-JUST'!$A:$ZZ,,MATCH("Fonction recodée",'ETPT A-JUST'!2:2,0)),"Magistrat placé ADD"))+
SUM(SUMIFS(
INDEX( 'ETPT A-JUST'!$A:$ZZ,,MATCH("8.7. CONTENTIEUX JIRS ÉCO-FI",'ETPT A-JUST'!2:2,0)),
INDEX( 'ETPT A-JUST'!$A:$ZZ,,MATCH("Fonction recodée",'ETPT A-JUST'!2:2,0)),"Magistrat placé ADD"))+
SUM(SUMIFS(
INDEX( 'ETPT A-JUST'!$A:$ZZ,,MATCH("9.3. CONTENTIEUX DE LA DÉTENTION JIRS",'ETPT A-JUST'!2:2,0)),
INDEX( 'ETPT A-JUST'!$A:$ZZ,,MATCH("Fonction recodée",'ETPT A-JUST'!2:2,0)),"Magistrat placé ADD"))+
SUM(SUMIFS(
INDEX( 'ETPT A-JUST'!$A:$ZZ,,MATCH("9.5. CONTENTIEUX DU CONTRÔLE JUDICIAIRE JIRS",'ETPT A-JUST'!2:2,0)),
INDEX( 'ETPT A-JUST'!$A:$ZZ,,MATCH("Fonction recodée",'ETPT A-JUST'!2:2,0)),"Magistrat placé ADD"))+
SUM(SUMIFS(
INDEX( 'ETPT A-JUST'!$A:$ZZ,,MATCH("9.7. CONTENTIEUX DE FOND JIRS",'ETPT A-JUST'!2:2,0)),
INDEX( 'ETPT A-JUST'!$A:$ZZ,,MATCH("Fonction recodée",'ETPT A-JUST'!2:2,0)),"Magistrat placé ADD"))</f>
        <v>#N/A</v>
      </c>
      <c r="S12" s="135" t="e">
        <f>SUM(SUMIFS(
INDEX( 'ETPT A-JUST'!$A:$ZZ,,MATCH("1. TOTAL CONTENTIEUX SOCIAL",'ETPT A-JUST'!2:2,0)),
INDEX( 'ETPT A-JUST'!$A:$ZZ,,MATCH("Fonction recodée",'ETPT A-JUST'!2:2,0)),"Magistrat placé ADD"))</f>
        <v>#N/A</v>
      </c>
      <c r="T12" s="135" t="e">
        <f>SUM(SUMIFS(
INDEX('ETPT A-JUST'!$A:$ZZ,,MATCH("Temps ventilés sur la période (absentéisme et action 99 déduits)",'ETPT A-JUST'!2:2,0)),
INDEX('ETPT A-JUST'!$A:$ZZ,,MATCH("Fonction recodée",'ETPT A-JUST'!2:2,0)),"Magistrat placé ADD"))-
SUM(P12:S12)</f>
        <v>#N/A</v>
      </c>
      <c r="U12" s="136">
        <f t="shared" si="2"/>
        <v>0</v>
      </c>
      <c r="V12" s="135"/>
      <c r="W12" s="135"/>
      <c r="X12" s="135"/>
      <c r="Y12" s="135"/>
      <c r="Z12" s="135"/>
      <c r="AA12" s="136">
        <f t="shared" si="3"/>
        <v>0</v>
      </c>
    </row>
    <row r="13" spans="1:58" x14ac:dyDescent="0.2">
      <c r="D13" s="38" t="str">
        <f t="shared" si="4"/>
        <v>=ETPT_CA_JUR_DDG!$D$5</v>
      </c>
      <c r="E13" s="96" t="s">
        <v>114</v>
      </c>
      <c r="F13" s="96" t="s">
        <v>115</v>
      </c>
      <c r="G13" s="135"/>
      <c r="H13" s="136">
        <f t="shared" si="0"/>
        <v>0</v>
      </c>
      <c r="I13" s="135"/>
      <c r="J13" s="135"/>
      <c r="K13" s="135"/>
      <c r="L13" s="135"/>
      <c r="M13" s="135"/>
      <c r="N13" s="135"/>
      <c r="O13" s="136">
        <f t="shared" si="1"/>
        <v>0</v>
      </c>
      <c r="P13" s="135"/>
      <c r="Q13" s="135"/>
      <c r="R13" s="135"/>
      <c r="S13" s="135"/>
      <c r="T13" s="135" t="e" cm="1">
        <f t="array" ref="T13">SUM(SUMIFS(
INDEX( 'ETPT A-JUST'!$A:$ZZ,,MATCH("14. TOTAL INDISPONIBILITÉ",'ETPT A-JUST'!2:2,0)),
INDEX( 'ETPT A-JUST'!$A:$ZZ,,MATCH("Fonction recodée",'ETPT A-JUST'!2:2,0)),{"Magistrat placé ADD";"Magistrat placé SUB"}))</f>
        <v>#N/A</v>
      </c>
      <c r="U13" s="136">
        <f t="shared" si="2"/>
        <v>0</v>
      </c>
      <c r="V13" s="135"/>
      <c r="W13" s="135"/>
      <c r="X13" s="135"/>
      <c r="Y13" s="135"/>
      <c r="Z13" s="135"/>
      <c r="AA13" s="136">
        <f t="shared" si="3"/>
        <v>0</v>
      </c>
    </row>
    <row r="14" spans="1:58" x14ac:dyDescent="0.2">
      <c r="D14" s="39"/>
      <c r="E14" s="96" t="s">
        <v>39</v>
      </c>
      <c r="F14" s="96" t="s">
        <v>38</v>
      </c>
      <c r="G14" s="135" t="e">
        <f>SUM(SUMIFS(
INDEX('ETPT A-JUST'!$A:$ZZ,,MATCH("Temps ventilés sur la période (absentéisme et action 99 déduits)",'ETPT A-JUST'!2:2,0)),
INDEX('ETPT A-JUST'!$A:$ZZ,,MATCH("Fonction recodée",'ETPT A-JUST'!2:2,0)),"Fonctionnaire CTECH placé SUB"))</f>
        <v>#N/A</v>
      </c>
      <c r="H14" s="136">
        <f>_xlfn.AGGREGATE(9,6,G14)</f>
        <v>0</v>
      </c>
      <c r="I14" s="135" t="e">
        <f>SUM(SUMIFS(
INDEX('ETPT A-JUST'!$A:$ZZ,,MATCH("13.9. FONCTIONNAIRES / AJ AFFECTÉS AUX ACTIVITÉS CIVILES ET COMMERCIALES DU PARQUET GÉNÉRAL",'ETPT A-JUST'!2:2,0)),
INDEX('ETPT A-JUST'!$A:$ZZ,,MATCH("Fonction recodée",'ETPT A-JUST'!2:2,0)),"Fonctionnaire A-B-CBUR placé SUB"))</f>
        <v>#N/A</v>
      </c>
      <c r="J14" s="135" t="e">
        <f>SUM(SUMIFS(
INDEX('ETPT A-JUST'!$A:$ZZ,,MATCH("11.1. ASSISES HORS JIRS",'ETPT A-JUST'!2:2,0)),
INDEX('ETPT A-JUST'!$A:$ZZ,,MATCH("Fonction recodée",'ETPT A-JUST'!2:2,0)),"Fonctionnaire A-B-CBUR placé SUB"))+
SUM(SUMIFS(
INDEX('ETPT A-JUST'!$A:$ZZ,,MATCH("11.2 ASSISES JIRS",'ETPT A-JUST'!2:2,0)),
INDEX('ETPT A-JUST'!$A:$ZZ,,MATCH("Fonction recodée",'ETPT A-JUST'!2:2,0)),"Fonctionnaire A-B-CBUR placé SUB"))</f>
        <v>#N/A</v>
      </c>
      <c r="K14" s="135" t="e">
        <f>SUM(SUMIFS(
INDEX('ETPT A-JUST'!$A:$ZZ,,MATCH("11.3. COUR CRIMINELLE DÉPARTEMENTALE",'ETPT A-JUST'!2:2,0)),
INDEX('ETPT A-JUST'!$A:$ZZ,,MATCH("Fonction recodée",'ETPT A-JUST'!2:2,0)),"Fonctionnaire A-B-CBUR placé SUB"))</f>
        <v>#N/A</v>
      </c>
      <c r="L14" s="135" t="e">
        <f>SUM(SUMIFS(
INDEX( 'ETPT A-JUST'!$A:$ZZ,,MATCH("8.4. CONTENTIEUX JIRS CRIM-ORG",'ETPT A-JUST'!2:2,0)),
INDEX( 'ETPT A-JUST'!$A:$ZZ,,MATCH("Fonction recodée",'ETPT A-JUST'!2:2,0)),"Fonctionnaire A-B-CBUR placé SUB"))+
SUM(SUMIFS(
INDEX( 'ETPT A-JUST'!$A:$ZZ,,MATCH("8.7. CONTENTIEUX JIRS ÉCO-FI",'ETPT A-JUST'!2:2,0)),
INDEX( 'ETPT A-JUST'!$A:$ZZ,,MATCH("Fonction recodée",'ETPT A-JUST'!2:2,0)),"Fonctionnaire A-B-CBUR placé SUB"))+
SUM(SUMIFS(
INDEX( 'ETPT A-JUST'!$A:$ZZ,,MATCH("9.3. CONTENTIEUX DE LA DÉTENTION JIRS",'ETPT A-JUST'!2:2,0)),
INDEX( 'ETPT A-JUST'!$A:$ZZ,,MATCH("Fonction recodée",'ETPT A-JUST'!2:2,0)),"Fonctionnaire A-B-CBUR placé SUB"))+
SUM(SUMIFS(
INDEX( 'ETPT A-JUST'!$A:$ZZ,,MATCH("9.5. CONTENTIEUX DU CONTRÔLE JUDICIAIRE JIRS",'ETPT A-JUST'!2:2,0)),
INDEX( 'ETPT A-JUST'!$A:$ZZ,,MATCH("Fonction recodée",'ETPT A-JUST'!2:2,0)),"Fonctionnaire A-B-CBUR placé SUB"))+
SUM(SUMIFS(
INDEX( 'ETPT A-JUST'!$A:$ZZ,,MATCH("9.7. CONTENTIEUX DE FOND JIRS",'ETPT A-JUST'!2:2,0)),
INDEX( 'ETPT A-JUST'!$A:$ZZ,,MATCH("Fonction recodée",'ETPT A-JUST'!2:2,0)),"Fonctionnaire A-B-CBUR placé SUB"))</f>
        <v>#N/A</v>
      </c>
      <c r="M14" s="135" t="e">
        <f>SUM(SUMIFS(
INDEX( 'ETPT A-JUST'!$A:$ZZ,,MATCH("1. TOTAL CONTENTIEUX SOCIAL",'ETPT A-JUST'!2:2,0)),
INDEX( 'ETPT A-JUST'!$A:$ZZ,,MATCH("Fonction recodée",'ETPT A-JUST'!2:2,0)),"Fonctionnaire A-B-CBUR placé SUB"))</f>
        <v>#N/A</v>
      </c>
      <c r="N14" s="135" t="e">
        <f>SUM(SUMIFS(
INDEX('ETPT A-JUST'!$A:$ZZ,,MATCH("Temps ventilés sur la période (absentéisme et action 99 déduits)",'ETPT A-JUST'!2:2,0)),
INDEX('ETPT A-JUST'!$A:$ZZ,,MATCH("Fonction recodée",'ETPT A-JUST'!2:2,0)),"Fonctionnaire A-B-CBUR placé SUB"))-
SUM(I14:M14)</f>
        <v>#N/A</v>
      </c>
      <c r="O14" s="136">
        <f t="shared" si="1"/>
        <v>0</v>
      </c>
      <c r="P14" s="135" t="e">
        <f>SUM(SUMIFS(
INDEX('ETPT A-JUST'!$A:$ZZ,,MATCH("11.1. ASSISES HORS JIRS",'ETPT A-JUST'!2:2,0)),
INDEX('ETPT A-JUST'!$A:$ZZ,,MATCH("Fonction recodée",'ETPT A-JUST'!2:2,0)),"Magistrat placé SUB"))+
SUM(SUMIFS(
INDEX('ETPT A-JUST'!$A:$ZZ,,MATCH("11.2 ASSISES JIRS",'ETPT A-JUST'!2:2,0)),
INDEX('ETPT A-JUST'!$A:$ZZ,,MATCH("Fonction recodée",'ETPT A-JUST'!2:2,0)),"Magistrat placé SUB"))</f>
        <v>#N/A</v>
      </c>
      <c r="Q14" s="135" t="e">
        <f>SUM(SUMIFS(
INDEX('ETPT A-JUST'!$A:$ZZ,,MATCH("11.3. COUR CRIMINELLE DÉPARTEMENTALE",'ETPT A-JUST'!2:2,0)),
INDEX('ETPT A-JUST'!$A:$ZZ,,MATCH("Fonction recodée",'ETPT A-JUST'!2:2,0)),"Magistrat placé SUB"))</f>
        <v>#N/A</v>
      </c>
      <c r="R14" s="135" t="e">
        <f>SUM(SUMIFS(
INDEX( 'ETPT A-JUST'!$A:$ZZ,,MATCH("8.4. CONTENTIEUX JIRS CRIM-ORG",'ETPT A-JUST'!2:2,0)),
INDEX( 'ETPT A-JUST'!$A:$ZZ,,MATCH("Fonction recodée",'ETPT A-JUST'!2:2,0)),"Magistrat placé SUB"))+
SUM(SUMIFS(
INDEX( 'ETPT A-JUST'!$A:$ZZ,,MATCH("8.7. CONTENTIEUX JIRS ÉCO-FI",'ETPT A-JUST'!2:2,0)),
INDEX( 'ETPT A-JUST'!$A:$ZZ,,MATCH("Fonction recodée",'ETPT A-JUST'!2:2,0)),"Magistrat placé SUB"))+
SUM(SUMIFS(
INDEX( 'ETPT A-JUST'!$A:$ZZ,,MATCH("9.3. CONTENTIEUX DE LA DÉTENTION JIRS",'ETPT A-JUST'!2:2,0)),
INDEX( 'ETPT A-JUST'!$A:$ZZ,,MATCH("Fonction recodée",'ETPT A-JUST'!2:2,0)),"Magistrat placé SUB"))+
SUM(SUMIFS(
INDEX( 'ETPT A-JUST'!$A:$ZZ,,MATCH("9.5. CONTENTIEUX DU CONTRÔLE JUDICIAIRE JIRS",'ETPT A-JUST'!2:2,0)),
INDEX( 'ETPT A-JUST'!$A:$ZZ,,MATCH("Fonction recodée",'ETPT A-JUST'!2:2,0)),"Magistrat placé SUB"))+
SUM(SUMIFS(
INDEX( 'ETPT A-JUST'!$A:$ZZ,,MATCH("9.7. CONTENTIEUX DE FOND JIRS",'ETPT A-JUST'!2:2,0)),
INDEX( 'ETPT A-JUST'!$A:$ZZ,,MATCH("Fonction recodée",'ETPT A-JUST'!2:2,0)),"Magistrat placé SUB"))</f>
        <v>#N/A</v>
      </c>
      <c r="S14" s="135" t="e">
        <f>SUM(SUMIFS(
INDEX( 'ETPT A-JUST'!$A:$ZZ,,MATCH("1. TOTAL CONTENTIEUX SOCIAL",'ETPT A-JUST'!2:2,0)),
INDEX( 'ETPT A-JUST'!$A:$ZZ,,MATCH("Fonction recodée",'ETPT A-JUST'!2:2,0)),"Magistrat placé SUB"))</f>
        <v>#N/A</v>
      </c>
      <c r="T14" s="135" t="e">
        <f>SUM(SUMIFS(
INDEX('ETPT A-JUST'!$A:$ZZ,,MATCH("Temps ventilés sur la période (absentéisme et action 99 déduits)",'ETPT A-JUST'!2:2,0)),
INDEX('ETPT A-JUST'!$A:$ZZ,,MATCH("Fonction recodée",'ETPT A-JUST'!2:2,0)),"Magistrat placé SUB"))-
SUM(P14:S14)</f>
        <v>#N/A</v>
      </c>
      <c r="U14" s="136">
        <f t="shared" si="2"/>
        <v>0</v>
      </c>
      <c r="V14" s="135"/>
      <c r="W14" s="135"/>
      <c r="X14" s="135"/>
      <c r="Y14" s="135"/>
      <c r="Z14" s="135"/>
      <c r="AA14" s="136">
        <f>_xlfn.AGGREGATE(9,6,V14:Z14)</f>
        <v>0</v>
      </c>
    </row>
    <row r="15" spans="1:58" x14ac:dyDescent="0.2">
      <c r="D15" s="39"/>
      <c r="E15" s="97"/>
      <c r="F15" s="98" t="s">
        <v>37</v>
      </c>
      <c r="G15" s="136">
        <f>_xlfn.AGGREGATE(9,6,G3:G14)</f>
        <v>0</v>
      </c>
      <c r="H15" s="136">
        <f>_xlfn.AGGREGATE(9,6,H3:H14)</f>
        <v>0</v>
      </c>
      <c r="I15" s="136">
        <f t="shared" ref="I15:Z15" si="5">_xlfn.AGGREGATE(9,6,I3:I14)</f>
        <v>0</v>
      </c>
      <c r="J15" s="136">
        <f t="shared" si="5"/>
        <v>0</v>
      </c>
      <c r="K15" s="136">
        <f t="shared" si="5"/>
        <v>0</v>
      </c>
      <c r="L15" s="136">
        <f t="shared" si="5"/>
        <v>0</v>
      </c>
      <c r="M15" s="136">
        <f t="shared" si="5"/>
        <v>0</v>
      </c>
      <c r="N15" s="136">
        <f t="shared" si="5"/>
        <v>0</v>
      </c>
      <c r="O15" s="136">
        <f t="shared" si="5"/>
        <v>0</v>
      </c>
      <c r="P15" s="136">
        <f t="shared" si="5"/>
        <v>0</v>
      </c>
      <c r="Q15" s="136">
        <f t="shared" si="5"/>
        <v>0</v>
      </c>
      <c r="R15" s="136">
        <f t="shared" si="5"/>
        <v>0</v>
      </c>
      <c r="S15" s="136">
        <f t="shared" si="5"/>
        <v>0</v>
      </c>
      <c r="T15" s="136">
        <f t="shared" si="5"/>
        <v>0</v>
      </c>
      <c r="U15" s="136">
        <f t="shared" si="5"/>
        <v>0</v>
      </c>
      <c r="V15" s="136">
        <f t="shared" si="5"/>
        <v>0</v>
      </c>
      <c r="W15" s="136">
        <f t="shared" si="5"/>
        <v>0</v>
      </c>
      <c r="X15" s="136">
        <f t="shared" si="5"/>
        <v>0</v>
      </c>
      <c r="Y15" s="136">
        <f t="shared" si="5"/>
        <v>0</v>
      </c>
      <c r="Z15" s="136">
        <f t="shared" si="5"/>
        <v>0</v>
      </c>
      <c r="AA15" s="136">
        <f>_xlfn.AGGREGATE(9,6,AA3:AA14)</f>
        <v>0</v>
      </c>
    </row>
    <row r="17" spans="1:14" customFormat="1" ht="102.5" customHeight="1" x14ac:dyDescent="0.2">
      <c r="A17" s="4"/>
      <c r="F17" s="165" t="s">
        <v>118</v>
      </c>
      <c r="G17" s="73" t="e" cm="1">
        <f t="array" ref="G17">SUM(SUMIFS(
INDEX( 'ETPT A-JUST'!$A:$ZZ,,MATCH("14. TOTAL INDISPONIBILITÉ",'ETPT A-JUST'!2:2,0)),
INDEX( 'ETPT A-JUST'!$A:$ZZ,,MATCH("Fonction recodée",'ETPT A-JUST'!2:2,0)),{"Fonctionnaire CTECH placé ADD";"Fonctionnaire CTECH placé SUB"}))</f>
        <v>#N/A</v>
      </c>
      <c r="I17" s="201" t="s">
        <v>119</v>
      </c>
      <c r="J17" s="201"/>
      <c r="K17" s="201"/>
      <c r="L17" s="201"/>
      <c r="M17" s="202"/>
      <c r="N17" s="73" t="e" cm="1">
        <f t="array" ref="N17">SUM(SUMIFS(
INDEX( 'ETPT A-JUST'!$A:$ZZ,,MATCH("14. TOTAL INDISPONIBILITÉ",'ETPT A-JUST'!2:2,0)),
INDEX( 'ETPT A-JUST'!$A:$ZZ,,MATCH("Fonction recodée",'ETPT A-JUST'!2:2,0)),{"Fonctionnaire A-B-CBUR placé ADD";"Fonctionnaire A-B-CBUR placé SUB"}))</f>
        <v>#N/A</v>
      </c>
    </row>
  </sheetData>
  <mergeCells count="1">
    <mergeCell ref="I17:M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21C7-025B-4F4F-A5C7-6D94075AC520}">
  <sheetPr codeName="Feuil8">
    <tabColor rgb="FFC00000"/>
  </sheetPr>
  <dimension ref="A1:AA17"/>
  <sheetViews>
    <sheetView topLeftCell="J1" zoomScaleNormal="100" workbookViewId="0">
      <selection activeCell="G7" sqref="G7"/>
    </sheetView>
  </sheetViews>
  <sheetFormatPr baseColWidth="10" defaultColWidth="11" defaultRowHeight="16" x14ac:dyDescent="0.2"/>
  <cols>
    <col min="1" max="1" width="6" style="37" hidden="1" customWidth="1"/>
    <col min="2" max="2" width="17.1640625" style="37" hidden="1" customWidth="1"/>
    <col min="3" max="3" width="6.33203125" style="37" hidden="1" customWidth="1"/>
    <col min="4" max="4" width="14.6640625" style="37" customWidth="1"/>
    <col min="5" max="5" width="6.5" style="37" customWidth="1"/>
    <col min="6" max="6" width="50" style="37" customWidth="1"/>
    <col min="7" max="27" width="14" style="37" customWidth="1"/>
    <col min="28" max="34" width="9.33203125" style="37" customWidth="1"/>
    <col min="35" max="35" width="8.5" style="37" bestFit="1" customWidth="1"/>
    <col min="36" max="36" width="7.33203125" style="37" bestFit="1" customWidth="1"/>
    <col min="37" max="37" width="14" style="37" customWidth="1"/>
    <col min="38" max="58" width="9.33203125" style="37" customWidth="1"/>
    <col min="59" max="59" width="4" style="37" customWidth="1"/>
    <col min="60" max="16384" width="11" style="37"/>
  </cols>
  <sheetData>
    <row r="1" spans="1:27" ht="87" customHeight="1" x14ac:dyDescent="0.25">
      <c r="A1" s="3" t="s">
        <v>120</v>
      </c>
      <c r="B1" s="5"/>
      <c r="C1" s="5"/>
      <c r="D1" s="3" t="s">
        <v>120</v>
      </c>
      <c r="E1" s="7"/>
      <c r="F1" s="6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6" x14ac:dyDescent="0.2">
      <c r="A2" s="44"/>
      <c r="B2" s="43" t="s">
        <v>75</v>
      </c>
      <c r="C2" s="43" t="s">
        <v>74</v>
      </c>
      <c r="D2" s="43" t="s">
        <v>32</v>
      </c>
      <c r="E2" s="95" t="s">
        <v>73</v>
      </c>
      <c r="F2" s="95" t="s">
        <v>72</v>
      </c>
      <c r="G2" s="99" t="s">
        <v>71</v>
      </c>
      <c r="H2" s="100" t="s">
        <v>81</v>
      </c>
      <c r="I2" s="99" t="s">
        <v>70</v>
      </c>
      <c r="J2" s="99" t="s">
        <v>265</v>
      </c>
      <c r="K2" s="99" t="s">
        <v>68</v>
      </c>
      <c r="L2" s="99" t="s">
        <v>266</v>
      </c>
      <c r="M2" s="99" t="s">
        <v>110</v>
      </c>
      <c r="N2" s="99" t="s">
        <v>67</v>
      </c>
      <c r="O2" s="100" t="s">
        <v>80</v>
      </c>
      <c r="P2" s="99" t="s">
        <v>267</v>
      </c>
      <c r="Q2" s="99" t="s">
        <v>65</v>
      </c>
      <c r="R2" s="99" t="s">
        <v>268</v>
      </c>
      <c r="S2" s="99" t="s">
        <v>112</v>
      </c>
      <c r="T2" s="99" t="s">
        <v>64</v>
      </c>
      <c r="U2" s="100" t="s">
        <v>79</v>
      </c>
      <c r="V2" s="99" t="s">
        <v>63</v>
      </c>
      <c r="W2" s="99" t="s">
        <v>276</v>
      </c>
      <c r="X2" s="99" t="s">
        <v>277</v>
      </c>
      <c r="Y2" s="99" t="s">
        <v>61</v>
      </c>
      <c r="Z2" s="99" t="s">
        <v>60</v>
      </c>
      <c r="AA2" s="100" t="s">
        <v>78</v>
      </c>
    </row>
    <row r="3" spans="1:27" x14ac:dyDescent="0.2">
      <c r="A3" s="42"/>
      <c r="B3" s="41"/>
      <c r="C3" s="41"/>
      <c r="D3" s="149" t="s">
        <v>258</v>
      </c>
      <c r="E3" s="96" t="s">
        <v>59</v>
      </c>
      <c r="F3" s="96" t="s">
        <v>58</v>
      </c>
      <c r="G3" s="135" t="str">
        <f>IF(ISBLANK($D$3),"",IF(ISERROR(ETPT_CA_JUR!G3),"",IF(ETPT_CA_JUR!G3=0,"",ETPT_CA_JUR!G3)))</f>
        <v/>
      </c>
      <c r="H3" s="136">
        <f>ETPT_CA_JUR!H3</f>
        <v>0</v>
      </c>
      <c r="I3" s="135" t="str">
        <f>IF(ISBLANK($D$3),"",IF(ISERROR(ETPT_CA_JUR!I3),"",IF(ETPT_CA_JUR!I3=0,"",ETPT_CA_JUR!I3)))</f>
        <v/>
      </c>
      <c r="J3" s="135" t="str">
        <f>IF(ISBLANK($D$3),"",IF(ISERROR(ETPT_CA_JUR!J3),"",IF(ETPT_CA_JUR!J3=0,"",ETPT_CA_JUR!J3)))</f>
        <v/>
      </c>
      <c r="K3" s="135" t="str">
        <f>IF(ISBLANK($D$3),"",IF(ISERROR(ETPT_CA_JUR!K3),"",IF(ETPT_CA_JUR!K3=0,"",ETPT_CA_JUR!K3)))</f>
        <v/>
      </c>
      <c r="L3" s="135" t="str">
        <f>IF(ISBLANK($D$3),"",IF(ISERROR(ETPT_CA_JUR!L3),"",IF(ETPT_CA_JUR!L3=0,"",ETPT_CA_JUR!L3)))</f>
        <v/>
      </c>
      <c r="M3" s="135" t="str">
        <f>IF(ISBLANK($D$3),"",IF(ISERROR(ETPT_CA_JUR!M3),"",IF(ETPT_CA_JUR!M3=0,"",ETPT_CA_JUR!M3)))</f>
        <v/>
      </c>
      <c r="N3" s="135" t="str">
        <f>IF(ISBLANK($D$3),"",IF(ISERROR(ETPT_CA_JUR!N3),"",IF(ETPT_CA_JUR!N3=0,"",ETPT_CA_JUR!N3)))</f>
        <v/>
      </c>
      <c r="O3" s="136">
        <f>ETPT_CA_JUR!O3</f>
        <v>0</v>
      </c>
      <c r="P3" s="135" t="str">
        <f>IF(ISBLANK($D$3),"",IF(ISERROR(ETPT_CA_JUR!P3),"",IF(ETPT_CA_JUR!P3=0,"",ETPT_CA_JUR!P3)))</f>
        <v/>
      </c>
      <c r="Q3" s="135" t="str">
        <f>IF(ISBLANK($D$3),"",IF(ISERROR(ETPT_CA_JUR!Q3),"",IF(ETPT_CA_JUR!Q3=0,"",ETPT_CA_JUR!Q3)))</f>
        <v/>
      </c>
      <c r="R3" s="135" t="str">
        <f>IF(ISBLANK($D$3),"",IF(ISERROR(ETPT_CA_JUR!R3),"",IF(ETPT_CA_JUR!R3=0,"",ETPT_CA_JUR!R3)))</f>
        <v/>
      </c>
      <c r="S3" s="135" t="str">
        <f>IF(ISBLANK($D$3),"",IF(ISERROR(ETPT_CA_JUR!S3),"",IF(ETPT_CA_JUR!S3=0,"",ETPT_CA_JUR!S3)))</f>
        <v/>
      </c>
      <c r="T3" s="135" t="str">
        <f>IF(ISBLANK($D$3),"",IF(ISERROR(ETPT_CA_JUR!T3),"",IF(ETPT_CA_JUR!T3=0,"",ETPT_CA_JUR!T3)))</f>
        <v/>
      </c>
      <c r="U3" s="136">
        <f>ETPT_CA_JUR!U3</f>
        <v>0</v>
      </c>
      <c r="V3" s="135" t="str">
        <f>IF(ISBLANK($D$3),"",IF(ISERROR(ETPT_CA_JUR!V3),"",IF(ETPT_CA_JUR!V3=0,"",ETPT_CA_JUR!V3)))</f>
        <v/>
      </c>
      <c r="W3" s="135" t="str">
        <f>IF(ISBLANK($D$3),"",IF(ISERROR(ETPT_CA_JUR!W3),"",IF(ETPT_CA_JUR!W3=0,"",ETPT_CA_JUR!W3)))</f>
        <v/>
      </c>
      <c r="X3" s="135" t="str">
        <f>IF(ISBLANK($D$3),"",IF(ISERROR(ETPT_CA_JUR!X3),"",IF(ETPT_CA_JUR!X3=0,"",ETPT_CA_JUR!X3)))</f>
        <v/>
      </c>
      <c r="Y3" s="135" t="str">
        <f>IF(ISBLANK($D$3),"",IF(ISERROR(ETPT_CA_JUR!Y3),"",IF(ETPT_CA_JUR!Y3=0,"",ETPT_CA_JUR!Y3)))</f>
        <v/>
      </c>
      <c r="Z3" s="135" t="str">
        <f>IF(ISBLANK($D$3),"",IF(ISERROR(ETPT_CA_JUR!Z3),"",IF(ETPT_CA_JUR!Z3=0,"",ETPT_CA_JUR!Z3)))</f>
        <v/>
      </c>
      <c r="AA3" s="136">
        <f>ETPT_CA_JUR!AA3</f>
        <v>0</v>
      </c>
    </row>
    <row r="4" spans="1:27" x14ac:dyDescent="0.2">
      <c r="A4" s="42"/>
      <c r="B4" s="41"/>
      <c r="C4" s="41"/>
      <c r="D4" s="38" t="str">
        <f>IF(ISBLANK($D$3),"",$D$3)</f>
        <v>A</v>
      </c>
      <c r="E4" s="96" t="s">
        <v>57</v>
      </c>
      <c r="F4" s="96" t="s">
        <v>56</v>
      </c>
      <c r="G4" s="135" t="str">
        <f>IF(ISBLANK($D$3),"",IF(ISERROR(ETPT_CA_JUR!G4),"",IF(ETPT_CA_JUR!G4=0,"",ETPT_CA_JUR!G4)))</f>
        <v/>
      </c>
      <c r="H4" s="136">
        <f>ETPT_CA_JUR!H4</f>
        <v>0</v>
      </c>
      <c r="I4" s="135" t="str">
        <f>IF(ISBLANK($D$3),"",IF(ISERROR(ETPT_CA_JUR!I4),"",IF(ETPT_CA_JUR!I4=0,"",ETPT_CA_JUR!I4)))</f>
        <v/>
      </c>
      <c r="J4" s="135" t="str">
        <f>IF(ISBLANK($D$3),"",IF(ISERROR(ETPT_CA_JUR!J4),"",IF(ETPT_CA_JUR!J4=0,"",ETPT_CA_JUR!J4)))</f>
        <v/>
      </c>
      <c r="K4" s="135" t="str">
        <f>IF(ISBLANK($D$3),"",IF(ISERROR(ETPT_CA_JUR!K4),"",IF(ETPT_CA_JUR!K4=0,"",ETPT_CA_JUR!K4)))</f>
        <v/>
      </c>
      <c r="L4" s="135" t="str">
        <f>IF(ISBLANK($D$3),"",IF(ISERROR(ETPT_CA_JUR!L4),"",IF(ETPT_CA_JUR!L4=0,"",ETPT_CA_JUR!L4)))</f>
        <v/>
      </c>
      <c r="M4" s="135" t="str">
        <f>IF(ISBLANK($D$3),"",IF(ISERROR(ETPT_CA_JUR!M4),"",IF(ETPT_CA_JUR!M4=0,"",ETPT_CA_JUR!M4)))</f>
        <v/>
      </c>
      <c r="N4" s="135" t="str">
        <f>IF(ISBLANK($D$3),"",IF(ISERROR(ETPT_CA_JUR!N4),"",IF(ETPT_CA_JUR!N4=0,"",ETPT_CA_JUR!N4)))</f>
        <v/>
      </c>
      <c r="O4" s="136">
        <f>ETPT_CA_JUR!O4</f>
        <v>0</v>
      </c>
      <c r="P4" s="135" t="str">
        <f>IF(ISBLANK($D$3),"",IF(ISERROR(ETPT_CA_JUR!P4),"",IF(ETPT_CA_JUR!P4=0,"",ETPT_CA_JUR!P4)))</f>
        <v/>
      </c>
      <c r="Q4" s="135" t="str">
        <f>IF(ISBLANK($D$3),"",IF(ISERROR(ETPT_CA_JUR!Q4),"",IF(ETPT_CA_JUR!Q4=0,"",ETPT_CA_JUR!Q4)))</f>
        <v/>
      </c>
      <c r="R4" s="135" t="str">
        <f>IF(ISBLANK($D$3),"",IF(ISERROR(ETPT_CA_JUR!R4),"",IF(ETPT_CA_JUR!R4=0,"",ETPT_CA_JUR!R4)))</f>
        <v/>
      </c>
      <c r="S4" s="135" t="str">
        <f>IF(ISBLANK($D$3),"",IF(ISERROR(ETPT_CA_JUR!S4),"",IF(ETPT_CA_JUR!S4=0,"",ETPT_CA_JUR!S4)))</f>
        <v/>
      </c>
      <c r="T4" s="135" t="str">
        <f>IF(ISBLANK($D$3),"",IF(ISERROR(ETPT_CA_JUR!T4),"",IF(ETPT_CA_JUR!T4=0,"",ETPT_CA_JUR!T4)))</f>
        <v/>
      </c>
      <c r="U4" s="136">
        <f>ETPT_CA_JUR!U4</f>
        <v>0</v>
      </c>
      <c r="V4" s="135" t="str">
        <f>IF(ISBLANK($D$3),"",IF(ISERROR(ETPT_CA_JUR!V4),"",IF(ETPT_CA_JUR!V4=0,"",ETPT_CA_JUR!V4)))</f>
        <v/>
      </c>
      <c r="W4" s="135" t="str">
        <f>IF(ISBLANK($D$3),"",IF(ISERROR(ETPT_CA_JUR!W4),"",IF(ETPT_CA_JUR!W4=0,"",ETPT_CA_JUR!W4)))</f>
        <v/>
      </c>
      <c r="X4" s="135" t="str">
        <f>IF(ISBLANK($D$3),"",IF(ISERROR(ETPT_CA_JUR!X4),"",IF(ETPT_CA_JUR!X4=0,"",ETPT_CA_JUR!X4)))</f>
        <v/>
      </c>
      <c r="Y4" s="135" t="str">
        <f>IF(ISBLANK($D$3),"",IF(ISERROR(ETPT_CA_JUR!Y4),"",IF(ETPT_CA_JUR!Y4=0,"",ETPT_CA_JUR!Y4)))</f>
        <v/>
      </c>
      <c r="Z4" s="135" t="str">
        <f>IF(ISBLANK($D$3),"",IF(ISERROR(ETPT_CA_JUR!Z4),"",IF(ETPT_CA_JUR!Z4=0,"",ETPT_CA_JUR!Z4)))</f>
        <v/>
      </c>
      <c r="AA4" s="136">
        <f>ETPT_CA_JUR!AA4</f>
        <v>0</v>
      </c>
    </row>
    <row r="5" spans="1:27" x14ac:dyDescent="0.2">
      <c r="A5" s="42"/>
      <c r="B5" s="41"/>
      <c r="C5" s="41"/>
      <c r="D5" s="38" t="str">
        <f t="shared" ref="D5:D13" si="0">IF(ISBLANK($D$3),"",$D$3)</f>
        <v>A</v>
      </c>
      <c r="E5" s="96" t="s">
        <v>55</v>
      </c>
      <c r="F5" s="96" t="s">
        <v>54</v>
      </c>
      <c r="G5" s="135" t="str">
        <f>IF(ISBLANK($D$3),"",IF(ISERROR(ETPT_CA_JUR!G5),"",IF(ETPT_CA_JUR!G5=0,"",ETPT_CA_JUR!G5)))</f>
        <v/>
      </c>
      <c r="H5" s="136">
        <f>ETPT_CA_JUR!H5</f>
        <v>0</v>
      </c>
      <c r="I5" s="135" t="str">
        <f>IF(ISBLANK($D$3),"",IF(ISERROR(ETPT_CA_JUR!I5),"",IF(ETPT_CA_JUR!I5=0,"",ETPT_CA_JUR!I5)))</f>
        <v/>
      </c>
      <c r="J5" s="135" t="str">
        <f>IF(ISBLANK($D$3),"",IF(ISERROR(ETPT_CA_JUR!J5),"",IF(ETPT_CA_JUR!J5=0,"",ETPT_CA_JUR!J5)))</f>
        <v/>
      </c>
      <c r="K5" s="135" t="str">
        <f>IF(ISBLANK($D$3),"",IF(ISERROR(ETPT_CA_JUR!K5),"",IF(ETPT_CA_JUR!K5=0,"",ETPT_CA_JUR!K5)))</f>
        <v/>
      </c>
      <c r="L5" s="135" t="str">
        <f>IF(ISBLANK($D$3),"",IF(ISERROR(ETPT_CA_JUR!L5),"",IF(ETPT_CA_JUR!L5=0,"",ETPT_CA_JUR!L5)))</f>
        <v/>
      </c>
      <c r="M5" s="135" t="str">
        <f>IF(ISBLANK($D$3),"",IF(ISERROR(ETPT_CA_JUR!M5),"",IF(ETPT_CA_JUR!M5=0,"",ETPT_CA_JUR!M5)))</f>
        <v/>
      </c>
      <c r="N5" s="135" t="str">
        <f>IF(ISBLANK($D$3),"",IF(ISERROR(ETPT_CA_JUR!N5),"",IF(ETPT_CA_JUR!N5=0,"",ETPT_CA_JUR!N5)))</f>
        <v/>
      </c>
      <c r="O5" s="136">
        <f>ETPT_CA_JUR!O5</f>
        <v>0</v>
      </c>
      <c r="P5" s="135" t="str">
        <f>IF(ISBLANK($D$3),"",IF(ISERROR(ETPT_CA_JUR!P5),"",IF(ETPT_CA_JUR!P5=0,"",ETPT_CA_JUR!P5)))</f>
        <v/>
      </c>
      <c r="Q5" s="135" t="str">
        <f>IF(ISBLANK($D$3),"",IF(ISERROR(ETPT_CA_JUR!Q5),"",IF(ETPT_CA_JUR!Q5=0,"",ETPT_CA_JUR!Q5)))</f>
        <v/>
      </c>
      <c r="R5" s="135" t="str">
        <f>IF(ISBLANK($D$3),"",IF(ISERROR(ETPT_CA_JUR!R5),"",IF(ETPT_CA_JUR!R5=0,"",ETPT_CA_JUR!R5)))</f>
        <v/>
      </c>
      <c r="S5" s="135" t="str">
        <f>IF(ISBLANK($D$3),"",IF(ISERROR(ETPT_CA_JUR!S5),"",IF(ETPT_CA_JUR!S5=0,"",ETPT_CA_JUR!S5)))</f>
        <v/>
      </c>
      <c r="T5" s="135" t="str">
        <f>IF(ISBLANK($D$3),"",IF(ISERROR(ETPT_CA_JUR!T5),"",IF(ETPT_CA_JUR!T5=0,"",ETPT_CA_JUR!T5)))</f>
        <v/>
      </c>
      <c r="U5" s="136">
        <f>ETPT_CA_JUR!U5</f>
        <v>0</v>
      </c>
      <c r="V5" s="135" t="str">
        <f>IF(ISBLANK($D$3),"",IF(ISERROR(ETPT_CA_JUR!V5),"",IF(ETPT_CA_JUR!V5=0,"",ETPT_CA_JUR!V5)))</f>
        <v/>
      </c>
      <c r="W5" s="135" t="str">
        <f>IF(ISBLANK($D$3),"",IF(ISERROR(ETPT_CA_JUR!W5),"",IF(ETPT_CA_JUR!W5=0,"",ETPT_CA_JUR!W5)))</f>
        <v/>
      </c>
      <c r="X5" s="135" t="str">
        <f>IF(ISBLANK($D$3),"",IF(ISERROR(ETPT_CA_JUR!X5),"",IF(ETPT_CA_JUR!X5=0,"",ETPT_CA_JUR!X5)))</f>
        <v/>
      </c>
      <c r="Y5" s="135" t="str">
        <f>IF(ISBLANK($D$3),"",IF(ISERROR(ETPT_CA_JUR!Y5),"",IF(ETPT_CA_JUR!Y5=0,"",ETPT_CA_JUR!Y5)))</f>
        <v/>
      </c>
      <c r="Z5" s="135" t="str">
        <f>IF(ISBLANK($D$3),"",IF(ISERROR(ETPT_CA_JUR!Z5),"",IF(ETPT_CA_JUR!Z5=0,"",ETPT_CA_JUR!Z5)))</f>
        <v/>
      </c>
      <c r="AA5" s="136">
        <f>ETPT_CA_JUR!AA5</f>
        <v>0</v>
      </c>
    </row>
    <row r="6" spans="1:27" x14ac:dyDescent="0.2">
      <c r="A6" s="42"/>
      <c r="B6" s="41"/>
      <c r="C6" s="41"/>
      <c r="D6" s="38" t="str">
        <f t="shared" si="0"/>
        <v>A</v>
      </c>
      <c r="E6" s="96" t="s">
        <v>53</v>
      </c>
      <c r="F6" s="96" t="s">
        <v>52</v>
      </c>
      <c r="G6" s="135" t="str">
        <f>IF(ISBLANK($D$3),"",IF(ISERROR(ETPT_CA_JUR!G6),"",IF(ETPT_CA_JUR!G6=0,"",ETPT_CA_JUR!G6)))</f>
        <v/>
      </c>
      <c r="H6" s="136">
        <f>ETPT_CA_JUR!H6</f>
        <v>0</v>
      </c>
      <c r="I6" s="135" t="str">
        <f>IF(ISBLANK($D$3),"",IF(ISERROR(ETPT_CA_JUR!I6),"",IF(ETPT_CA_JUR!I6=0,"",ETPT_CA_JUR!I6)))</f>
        <v/>
      </c>
      <c r="J6" s="135" t="str">
        <f>IF(ISBLANK($D$3),"",IF(ISERROR(ETPT_CA_JUR!J6),"",IF(ETPT_CA_JUR!J6=0,"",ETPT_CA_JUR!J6)))</f>
        <v/>
      </c>
      <c r="K6" s="135" t="str">
        <f>IF(ISBLANK($D$3),"",IF(ISERROR(ETPT_CA_JUR!K6),"",IF(ETPT_CA_JUR!K6=0,"",ETPT_CA_JUR!K6)))</f>
        <v/>
      </c>
      <c r="L6" s="135" t="str">
        <f>IF(ISBLANK($D$3),"",IF(ISERROR(ETPT_CA_JUR!L6),"",IF(ETPT_CA_JUR!L6=0,"",ETPT_CA_JUR!L6)))</f>
        <v/>
      </c>
      <c r="M6" s="135" t="str">
        <f>IF(ISBLANK($D$3),"",IF(ISERROR(ETPT_CA_JUR!M6),"",IF(ETPT_CA_JUR!M6=0,"",ETPT_CA_JUR!M6)))</f>
        <v/>
      </c>
      <c r="N6" s="135" t="str">
        <f>IF(ISBLANK($D$3),"",IF(ISERROR(ETPT_CA_JUR!N6),"",IF(ETPT_CA_JUR!N6=0,"",ETPT_CA_JUR!N6)))</f>
        <v/>
      </c>
      <c r="O6" s="136">
        <f>ETPT_CA_JUR!O6</f>
        <v>0</v>
      </c>
      <c r="P6" s="135" t="str">
        <f>IF(ISBLANK($D$3),"",IF(ISERROR(ETPT_CA_JUR!P6),"",IF(ETPT_CA_JUR!P6=0,"",ETPT_CA_JUR!P6)))</f>
        <v/>
      </c>
      <c r="Q6" s="135" t="str">
        <f>IF(ISBLANK($D$3),"",IF(ISERROR(ETPT_CA_JUR!Q6),"",IF(ETPT_CA_JUR!Q6=0,"",ETPT_CA_JUR!Q6)))</f>
        <v/>
      </c>
      <c r="R6" s="135" t="str">
        <f>IF(ISBLANK($D$3),"",IF(ISERROR(ETPT_CA_JUR!R6),"",IF(ETPT_CA_JUR!R6=0,"",ETPT_CA_JUR!R6)))</f>
        <v/>
      </c>
      <c r="S6" s="135" t="str">
        <f>IF(ISBLANK($D$3),"",IF(ISERROR(ETPT_CA_JUR!S6),"",IF(ETPT_CA_JUR!S6=0,"",ETPT_CA_JUR!S6)))</f>
        <v/>
      </c>
      <c r="T6" s="135" t="str">
        <f>IF(ISBLANK($D$3),"",IF(ISERROR(ETPT_CA_JUR!T6),"",IF(ETPT_CA_JUR!T6=0,"",ETPT_CA_JUR!T6)))</f>
        <v/>
      </c>
      <c r="U6" s="136">
        <f>ETPT_CA_JUR!U6</f>
        <v>0</v>
      </c>
      <c r="V6" s="135" t="str">
        <f>IF(ISBLANK($D$3),"",IF(ISERROR(ETPT_CA_JUR!V6),"",IF(ETPT_CA_JUR!V6=0,"",ETPT_CA_JUR!V6)))</f>
        <v/>
      </c>
      <c r="W6" s="135" t="str">
        <f>IF(ISBLANK($D$3),"",IF(ISERROR(ETPT_CA_JUR!W6),"",IF(ETPT_CA_JUR!W6=0,"",ETPT_CA_JUR!W6)))</f>
        <v/>
      </c>
      <c r="X6" s="135" t="str">
        <f>IF(ISBLANK($D$3),"",IF(ISERROR(ETPT_CA_JUR!X6),"",IF(ETPT_CA_JUR!X6=0,"",ETPT_CA_JUR!X6)))</f>
        <v/>
      </c>
      <c r="Y6" s="135" t="str">
        <f>IF(ISBLANK($D$3),"",IF(ISERROR(ETPT_CA_JUR!Y6),"",IF(ETPT_CA_JUR!Y6=0,"",ETPT_CA_JUR!Y6)))</f>
        <v/>
      </c>
      <c r="Z6" s="135" t="str">
        <f>IF(ISBLANK($D$3),"",IF(ISERROR(ETPT_CA_JUR!Z6),"",IF(ETPT_CA_JUR!Z6=0,"",ETPT_CA_JUR!Z6)))</f>
        <v/>
      </c>
      <c r="AA6" s="136">
        <f>ETPT_CA_JUR!AA6</f>
        <v>0</v>
      </c>
    </row>
    <row r="7" spans="1:27" x14ac:dyDescent="0.2">
      <c r="A7" s="42"/>
      <c r="B7" s="41"/>
      <c r="C7" s="41"/>
      <c r="D7" s="38" t="str">
        <f t="shared" si="0"/>
        <v>A</v>
      </c>
      <c r="E7" s="96" t="s">
        <v>51</v>
      </c>
      <c r="F7" s="96" t="s">
        <v>50</v>
      </c>
      <c r="G7" s="135" t="str">
        <f>IF(ISBLANK($D$3),"",IF(ISERROR(ETPT_CA_JUR!G7),"",IF(ETPT_CA_JUR!G7=0,"",ETPT_CA_JUR!G7)))</f>
        <v/>
      </c>
      <c r="H7" s="136">
        <f>ETPT_CA_JUR!H7</f>
        <v>0</v>
      </c>
      <c r="I7" s="135" t="str">
        <f>IF(ISBLANK($D$3),"",IF(ISERROR(ETPT_CA_JUR!I7),"",IF(ETPT_CA_JUR!I7=0,"",ETPT_CA_JUR!I7)))</f>
        <v/>
      </c>
      <c r="J7" s="135" t="str">
        <f>IF(ISBLANK($D$3),"",IF(ISERROR(ETPT_CA_JUR!J7),"",IF(ETPT_CA_JUR!J7=0,"",ETPT_CA_JUR!J7)))</f>
        <v/>
      </c>
      <c r="K7" s="135" t="str">
        <f>IF(ISBLANK($D$3),"",IF(ISERROR(ETPT_CA_JUR!K7),"",IF(ETPT_CA_JUR!K7=0,"",ETPT_CA_JUR!K7)))</f>
        <v/>
      </c>
      <c r="L7" s="135" t="str">
        <f>IF(ISBLANK($D$3),"",IF(ISERROR(ETPT_CA_JUR!L7),"",IF(ETPT_CA_JUR!L7=0,"",ETPT_CA_JUR!L7)))</f>
        <v/>
      </c>
      <c r="M7" s="135" t="str">
        <f>IF(ISBLANK($D$3),"",IF(ISERROR(ETPT_CA_JUR!M7),"",IF(ETPT_CA_JUR!M7=0,"",ETPT_CA_JUR!M7)))</f>
        <v/>
      </c>
      <c r="N7" s="135" t="str">
        <f>IF(ISBLANK($D$3),"",IF(ISERROR(ETPT_CA_JUR!N7),"",IF(ETPT_CA_JUR!N7=0,"",ETPT_CA_JUR!N7)))</f>
        <v/>
      </c>
      <c r="O7" s="136">
        <f>ETPT_CA_JUR!O7</f>
        <v>0</v>
      </c>
      <c r="P7" s="135" t="str">
        <f>IF(ISBLANK($D$3),"",IF(ISERROR(ETPT_CA_JUR!P7),"",IF(ETPT_CA_JUR!P7=0,"",ETPT_CA_JUR!P7)))</f>
        <v/>
      </c>
      <c r="Q7" s="135" t="str">
        <f>IF(ISBLANK($D$3),"",IF(ISERROR(ETPT_CA_JUR!Q7),"",IF(ETPT_CA_JUR!Q7=0,"",ETPT_CA_JUR!Q7)))</f>
        <v/>
      </c>
      <c r="R7" s="135" t="str">
        <f>IF(ISBLANK($D$3),"",IF(ISERROR(ETPT_CA_JUR!R7),"",IF(ETPT_CA_JUR!R7=0,"",ETPT_CA_JUR!R7)))</f>
        <v/>
      </c>
      <c r="S7" s="135" t="str">
        <f>IF(ISBLANK($D$3),"",IF(ISERROR(ETPT_CA_JUR!S7),"",IF(ETPT_CA_JUR!S7=0,"",ETPT_CA_JUR!S7)))</f>
        <v/>
      </c>
      <c r="T7" s="135" t="str">
        <f>IF(ISBLANK($D$3),"",IF(ISERROR(ETPT_CA_JUR!T7),"",IF(ETPT_CA_JUR!T7=0,"",ETPT_CA_JUR!T7)))</f>
        <v/>
      </c>
      <c r="U7" s="136">
        <f>ETPT_CA_JUR!U7</f>
        <v>0</v>
      </c>
      <c r="V7" s="135" t="str">
        <f>IF(ISBLANK($D$3),"",IF(ISERROR(ETPT_CA_JUR!V7),"",IF(ETPT_CA_JUR!V7=0,"",ETPT_CA_JUR!V7)))</f>
        <v/>
      </c>
      <c r="W7" s="135" t="str">
        <f>IF(ISBLANK($D$3),"",IF(ISERROR(ETPT_CA_JUR!W7),"",IF(ETPT_CA_JUR!W7=0,"",ETPT_CA_JUR!W7)))</f>
        <v/>
      </c>
      <c r="X7" s="135" t="str">
        <f>IF(ISBLANK($D$3),"",IF(ISERROR(ETPT_CA_JUR!X7),"",IF(ETPT_CA_JUR!X7=0,"",ETPT_CA_JUR!X7)))</f>
        <v/>
      </c>
      <c r="Y7" s="135" t="str">
        <f>IF(ISBLANK($D$3),"",IF(ISERROR(ETPT_CA_JUR!Y7),"",IF(ETPT_CA_JUR!Y7=0,"",ETPT_CA_JUR!Y7)))</f>
        <v/>
      </c>
      <c r="Z7" s="135" t="str">
        <f>IF(ISBLANK($D$3),"",IF(ISERROR(ETPT_CA_JUR!Z7),"",IF(ETPT_CA_JUR!Z7=0,"",ETPT_CA_JUR!Z7)))</f>
        <v/>
      </c>
      <c r="AA7" s="136">
        <f>ETPT_CA_JUR!AA7</f>
        <v>0</v>
      </c>
    </row>
    <row r="8" spans="1:27" x14ac:dyDescent="0.2">
      <c r="A8" s="42"/>
      <c r="B8" s="41"/>
      <c r="C8" s="41"/>
      <c r="D8" s="38" t="str">
        <f t="shared" si="0"/>
        <v>A</v>
      </c>
      <c r="E8" s="96" t="s">
        <v>49</v>
      </c>
      <c r="F8" s="96" t="s">
        <v>48</v>
      </c>
      <c r="G8" s="135" t="str">
        <f>IF(ISBLANK($D$3),"",IF(ISERROR(ETPT_CA_JUR!G8),"",IF(ETPT_CA_JUR!G8=0,"",ETPT_CA_JUR!G8)))</f>
        <v/>
      </c>
      <c r="H8" s="136">
        <f>ETPT_CA_JUR!H8</f>
        <v>0</v>
      </c>
      <c r="I8" s="135" t="str">
        <f>IF(ISBLANK($D$3),"",IF(ISERROR(ETPT_CA_JUR!I8),"",IF(ETPT_CA_JUR!I8=0,"",ETPT_CA_JUR!I8)))</f>
        <v/>
      </c>
      <c r="J8" s="135" t="str">
        <f>IF(ISBLANK($D$3),"",IF(ISERROR(ETPT_CA_JUR!J8),"",IF(ETPT_CA_JUR!J8=0,"",ETPT_CA_JUR!J8)))</f>
        <v/>
      </c>
      <c r="K8" s="135" t="str">
        <f>IF(ISBLANK($D$3),"",IF(ISERROR(ETPT_CA_JUR!K8),"",IF(ETPT_CA_JUR!K8=0,"",ETPT_CA_JUR!K8)))</f>
        <v/>
      </c>
      <c r="L8" s="135" t="str">
        <f>IF(ISBLANK($D$3),"",IF(ISERROR(ETPT_CA_JUR!L8),"",IF(ETPT_CA_JUR!L8=0,"",ETPT_CA_JUR!L8)))</f>
        <v/>
      </c>
      <c r="M8" s="135" t="str">
        <f>IF(ISBLANK($D$3),"",IF(ISERROR(ETPT_CA_JUR!M8),"",IF(ETPT_CA_JUR!M8=0,"",ETPT_CA_JUR!M8)))</f>
        <v/>
      </c>
      <c r="N8" s="135" t="str">
        <f>IF(ISBLANK($D$3),"",IF(ISERROR(ETPT_CA_JUR!N8),"",IF(ETPT_CA_JUR!N8=0,"",ETPT_CA_JUR!N8)))</f>
        <v/>
      </c>
      <c r="O8" s="136">
        <f>ETPT_CA_JUR!O8</f>
        <v>0</v>
      </c>
      <c r="P8" s="135" t="str">
        <f>IF(ISBLANK($D$3),"",IF(ISERROR(ETPT_CA_JUR!P8),"",IF(ETPT_CA_JUR!P8=0,"",ETPT_CA_JUR!P8)))</f>
        <v/>
      </c>
      <c r="Q8" s="135" t="str">
        <f>IF(ISBLANK($D$3),"",IF(ISERROR(ETPT_CA_JUR!Q8),"",IF(ETPT_CA_JUR!Q8=0,"",ETPT_CA_JUR!Q8)))</f>
        <v/>
      </c>
      <c r="R8" s="135" t="str">
        <f>IF(ISBLANK($D$3),"",IF(ISERROR(ETPT_CA_JUR!R8),"",IF(ETPT_CA_JUR!R8=0,"",ETPT_CA_JUR!R8)))</f>
        <v/>
      </c>
      <c r="S8" s="135" t="str">
        <f>IF(ISBLANK($D$3),"",IF(ISERROR(ETPT_CA_JUR!S8),"",IF(ETPT_CA_JUR!S8=0,"",ETPT_CA_JUR!S8)))</f>
        <v/>
      </c>
      <c r="T8" s="135" t="str">
        <f>IF(ISBLANK($D$3),"",IF(ISERROR(ETPT_CA_JUR!T8),"",IF(ETPT_CA_JUR!T8=0,"",ETPT_CA_JUR!T8)))</f>
        <v/>
      </c>
      <c r="U8" s="136">
        <f>ETPT_CA_JUR!U8</f>
        <v>0</v>
      </c>
      <c r="V8" s="135" t="str">
        <f>IF(ISBLANK($D$3),"",IF(ISERROR(ETPT_CA_JUR!V8),"",IF(ETPT_CA_JUR!V8=0,"",ETPT_CA_JUR!V8)))</f>
        <v/>
      </c>
      <c r="W8" s="135" t="str">
        <f>IF(ISBLANK($D$3),"",IF(ISERROR(ETPT_CA_JUR!W8),"",IF(ETPT_CA_JUR!W8=0,"",ETPT_CA_JUR!W8)))</f>
        <v/>
      </c>
      <c r="X8" s="135" t="str">
        <f>IF(ISBLANK($D$3),"",IF(ISERROR(ETPT_CA_JUR!X8),"",IF(ETPT_CA_JUR!X8=0,"",ETPT_CA_JUR!X8)))</f>
        <v/>
      </c>
      <c r="Y8" s="135" t="str">
        <f>IF(ISBLANK($D$3),"",IF(ISERROR(ETPT_CA_JUR!Y8),"",IF(ETPT_CA_JUR!Y8=0,"",ETPT_CA_JUR!Y8)))</f>
        <v/>
      </c>
      <c r="Z8" s="135" t="str">
        <f>IF(ISBLANK($D$3),"",IF(ISERROR(ETPT_CA_JUR!Z8),"",IF(ETPT_CA_JUR!Z8=0,"",ETPT_CA_JUR!Z8)))</f>
        <v/>
      </c>
      <c r="AA8" s="136">
        <f>ETPT_CA_JUR!AA8</f>
        <v>0</v>
      </c>
    </row>
    <row r="9" spans="1:27" x14ac:dyDescent="0.2">
      <c r="A9" s="42"/>
      <c r="B9" s="41"/>
      <c r="C9" s="41"/>
      <c r="D9" s="38" t="str">
        <f t="shared" si="0"/>
        <v>A</v>
      </c>
      <c r="E9" s="96" t="s">
        <v>47</v>
      </c>
      <c r="F9" s="96" t="s">
        <v>46</v>
      </c>
      <c r="G9" s="135" t="str">
        <f>IF(ISBLANK($D$3),"",IF(ISERROR(ETPT_CA_JUR!G9),"",IF(ETPT_CA_JUR!G9=0,"",ETPT_CA_JUR!G9)))</f>
        <v/>
      </c>
      <c r="H9" s="136">
        <f>ETPT_CA_JUR!H9</f>
        <v>0</v>
      </c>
      <c r="I9" s="135" t="str">
        <f>IF(ISBLANK($D$3),"",IF(ISERROR(ETPT_CA_JUR!I9),"",IF(ETPT_CA_JUR!I9=0,"",ETPT_CA_JUR!I9)))</f>
        <v/>
      </c>
      <c r="J9" s="135" t="str">
        <f>IF(ISBLANK($D$3),"",IF(ISERROR(ETPT_CA_JUR!J9),"",IF(ETPT_CA_JUR!J9=0,"",ETPT_CA_JUR!J9)))</f>
        <v/>
      </c>
      <c r="K9" s="135" t="str">
        <f>IF(ISBLANK($D$3),"",IF(ISERROR(ETPT_CA_JUR!K9),"",IF(ETPT_CA_JUR!K9=0,"",ETPT_CA_JUR!K9)))</f>
        <v/>
      </c>
      <c r="L9" s="135" t="str">
        <f>IF(ISBLANK($D$3),"",IF(ISERROR(ETPT_CA_JUR!L9),"",IF(ETPT_CA_JUR!L9=0,"",ETPT_CA_JUR!L9)))</f>
        <v/>
      </c>
      <c r="M9" s="135" t="str">
        <f>IF(ISBLANK($D$3),"",IF(ISERROR(ETPT_CA_JUR!M9),"",IF(ETPT_CA_JUR!M9=0,"",ETPT_CA_JUR!M9)))</f>
        <v/>
      </c>
      <c r="N9" s="135" t="str">
        <f>IF(ISBLANK($D$3),"",IF(ISERROR(ETPT_CA_JUR!N9),"",IF(ETPT_CA_JUR!N9=0,"",ETPT_CA_JUR!N9)))</f>
        <v/>
      </c>
      <c r="O9" s="136">
        <f>ETPT_CA_JUR!O9</f>
        <v>0</v>
      </c>
      <c r="P9" s="135" t="str">
        <f>IF(ISBLANK($D$3),"",IF(ISERROR(ETPT_CA_JUR!P9),"",IF(ETPT_CA_JUR!P9=0,"",ETPT_CA_JUR!P9)))</f>
        <v/>
      </c>
      <c r="Q9" s="135" t="str">
        <f>IF(ISBLANK($D$3),"",IF(ISERROR(ETPT_CA_JUR!Q9),"",IF(ETPT_CA_JUR!Q9=0,"",ETPT_CA_JUR!Q9)))</f>
        <v/>
      </c>
      <c r="R9" s="135" t="str">
        <f>IF(ISBLANK($D$3),"",IF(ISERROR(ETPT_CA_JUR!R9),"",IF(ETPT_CA_JUR!R9=0,"",ETPT_CA_JUR!R9)))</f>
        <v/>
      </c>
      <c r="S9" s="135" t="str">
        <f>IF(ISBLANK($D$3),"",IF(ISERROR(ETPT_CA_JUR!S9),"",IF(ETPT_CA_JUR!S9=0,"",ETPT_CA_JUR!S9)))</f>
        <v/>
      </c>
      <c r="T9" s="135" t="str">
        <f>IF(ISBLANK($D$3),"",IF(ISERROR(ETPT_CA_JUR!T9),"",IF(ETPT_CA_JUR!T9=0,"",ETPT_CA_JUR!T9)))</f>
        <v/>
      </c>
      <c r="U9" s="136">
        <f>ETPT_CA_JUR!U9</f>
        <v>0</v>
      </c>
      <c r="V9" s="135" t="str">
        <f>IF(ISBLANK($D$3),"",IF(ISERROR(ETPT_CA_JUR!V9),"",IF(ETPT_CA_JUR!V9=0,"",ETPT_CA_JUR!V9)))</f>
        <v/>
      </c>
      <c r="W9" s="135" t="str">
        <f>IF(ISBLANK($D$3),"",IF(ISERROR(ETPT_CA_JUR!W9),"",IF(ETPT_CA_JUR!W9=0,"",ETPT_CA_JUR!W9)))</f>
        <v/>
      </c>
      <c r="X9" s="135" t="str">
        <f>IF(ISBLANK($D$3),"",IF(ISERROR(ETPT_CA_JUR!X9),"",IF(ETPT_CA_JUR!X9=0,"",ETPT_CA_JUR!X9)))</f>
        <v/>
      </c>
      <c r="Y9" s="135" t="str">
        <f>IF(ISBLANK($D$3),"",IF(ISERROR(ETPT_CA_JUR!Y9),"",IF(ETPT_CA_JUR!Y9=0,"",ETPT_CA_JUR!Y9)))</f>
        <v/>
      </c>
      <c r="Z9" s="135" t="str">
        <f>IF(ISBLANK($D$3),"",IF(ISERROR(ETPT_CA_JUR!Z9),"",IF(ETPT_CA_JUR!Z9=0,"",ETPT_CA_JUR!Z9)))</f>
        <v/>
      </c>
      <c r="AA9" s="136">
        <f>ETPT_CA_JUR!AA9</f>
        <v>0</v>
      </c>
    </row>
    <row r="10" spans="1:27" x14ac:dyDescent="0.2">
      <c r="A10" s="42"/>
      <c r="B10" s="41"/>
      <c r="C10" s="41"/>
      <c r="D10" s="38" t="str">
        <f t="shared" si="0"/>
        <v>A</v>
      </c>
      <c r="E10" s="96" t="s">
        <v>45</v>
      </c>
      <c r="F10" s="96" t="s">
        <v>44</v>
      </c>
      <c r="G10" s="135" t="str">
        <f>IF(ISBLANK($D$3),"",IF(ISERROR(ETPT_CA_JUR!G10),"",IF(ETPT_CA_JUR!G10=0,"",ETPT_CA_JUR!G10)))</f>
        <v/>
      </c>
      <c r="H10" s="136">
        <f>ETPT_CA_JUR!H10</f>
        <v>0</v>
      </c>
      <c r="I10" s="135" t="str">
        <f>IF(ISBLANK($D$3),"",IF(ISERROR(ETPT_CA_JUR!I10),"",IF(ETPT_CA_JUR!I10=0,"",ETPT_CA_JUR!I10)))</f>
        <v/>
      </c>
      <c r="J10" s="135" t="str">
        <f>IF(ISBLANK($D$3),"",IF(ISERROR(ETPT_CA_JUR!J10),"",IF(ETPT_CA_JUR!J10=0,"",ETPT_CA_JUR!J10)))</f>
        <v/>
      </c>
      <c r="K10" s="135" t="str">
        <f>IF(ISBLANK($D$3),"",IF(ISERROR(ETPT_CA_JUR!K10),"",IF(ETPT_CA_JUR!K10=0,"",ETPT_CA_JUR!K10)))</f>
        <v/>
      </c>
      <c r="L10" s="135" t="str">
        <f>IF(ISBLANK($D$3),"",IF(ISERROR(ETPT_CA_JUR!L10),"",IF(ETPT_CA_JUR!L10=0,"",ETPT_CA_JUR!L10)))</f>
        <v/>
      </c>
      <c r="M10" s="135" t="str">
        <f>IF(ISBLANK($D$3),"",IF(ISERROR(ETPT_CA_JUR!M10),"",IF(ETPT_CA_JUR!M10=0,"",ETPT_CA_JUR!M10)))</f>
        <v/>
      </c>
      <c r="N10" s="135" t="str">
        <f>IF(ISBLANK($D$3),"",IF(ISERROR(ETPT_CA_JUR!N10),"",IF(ETPT_CA_JUR!N10=0,"",ETPT_CA_JUR!N10)))</f>
        <v/>
      </c>
      <c r="O10" s="136">
        <f>ETPT_CA_JUR!O10</f>
        <v>0</v>
      </c>
      <c r="P10" s="135" t="str">
        <f>IF(ISBLANK($D$3),"",IF(ISERROR(ETPT_CA_JUR!P10),"",IF(ETPT_CA_JUR!P10=0,"",ETPT_CA_JUR!P10)))</f>
        <v/>
      </c>
      <c r="Q10" s="135" t="str">
        <f>IF(ISBLANK($D$3),"",IF(ISERROR(ETPT_CA_JUR!Q10),"",IF(ETPT_CA_JUR!Q10=0,"",ETPT_CA_JUR!Q10)))</f>
        <v/>
      </c>
      <c r="R10" s="135" t="str">
        <f>IF(ISBLANK($D$3),"",IF(ISERROR(ETPT_CA_JUR!R10),"",IF(ETPT_CA_JUR!R10=0,"",ETPT_CA_JUR!R10)))</f>
        <v/>
      </c>
      <c r="S10" s="135" t="str">
        <f>IF(ISBLANK($D$3),"",IF(ISERROR(ETPT_CA_JUR!S10),"",IF(ETPT_CA_JUR!S10=0,"",ETPT_CA_JUR!S10)))</f>
        <v/>
      </c>
      <c r="T10" s="135" t="str">
        <f>IF(ISBLANK($D$3),"",IF(ISERROR(ETPT_CA_JUR!T10),"",IF(ETPT_CA_JUR!T10=0,"",ETPT_CA_JUR!T10)))</f>
        <v/>
      </c>
      <c r="U10" s="136">
        <f>ETPT_CA_JUR!U10</f>
        <v>0</v>
      </c>
      <c r="V10" s="135" t="str">
        <f>IF(ISBLANK($D$3),"",IF(ISERROR(ETPT_CA_JUR!V10),"",IF(ETPT_CA_JUR!V10=0,"",ETPT_CA_JUR!V10)))</f>
        <v/>
      </c>
      <c r="W10" s="135" t="str">
        <f>IF(ISBLANK($D$3),"",IF(ISERROR(ETPT_CA_JUR!W10),"",IF(ETPT_CA_JUR!W10=0,"",ETPT_CA_JUR!W10)))</f>
        <v/>
      </c>
      <c r="X10" s="135" t="str">
        <f>IF(ISBLANK($D$3),"",IF(ISERROR(ETPT_CA_JUR!X10),"",IF(ETPT_CA_JUR!X10=0,"",ETPT_CA_JUR!X10)))</f>
        <v/>
      </c>
      <c r="Y10" s="135" t="str">
        <f>IF(ISBLANK($D$3),"",IF(ISERROR(ETPT_CA_JUR!Y10),"",IF(ETPT_CA_JUR!Y10=0,"",ETPT_CA_JUR!Y10)))</f>
        <v/>
      </c>
      <c r="Z10" s="135" t="str">
        <f>IF(ISBLANK($D$3),"",IF(ISERROR(ETPT_CA_JUR!Z10),"",IF(ETPT_CA_JUR!Z10=0,"",ETPT_CA_JUR!Z10)))</f>
        <v/>
      </c>
      <c r="AA10" s="136">
        <f>ETPT_CA_JUR!AA10</f>
        <v>0</v>
      </c>
    </row>
    <row r="11" spans="1:27" x14ac:dyDescent="0.2">
      <c r="A11" s="42"/>
      <c r="B11" s="41"/>
      <c r="C11" s="41"/>
      <c r="D11" s="38" t="str">
        <f t="shared" si="0"/>
        <v>A</v>
      </c>
      <c r="E11" s="96" t="s">
        <v>43</v>
      </c>
      <c r="F11" s="96" t="s">
        <v>42</v>
      </c>
      <c r="G11" s="135" t="str">
        <f>IF(ISBLANK($D$3),"",IF(ISERROR(ETPT_CA_JUR!G11),"",IF(ETPT_CA_JUR!G11=0,"",ETPT_CA_JUR!G11)))</f>
        <v/>
      </c>
      <c r="H11" s="136">
        <f>ETPT_CA_JUR!H11</f>
        <v>0</v>
      </c>
      <c r="I11" s="135" t="str">
        <f>IF(ISBLANK($D$3),"",IF(ISERROR(ETPT_CA_JUR!I11),"",IF(ETPT_CA_JUR!I11=0,"",ETPT_CA_JUR!I11)))</f>
        <v/>
      </c>
      <c r="J11" s="135" t="str">
        <f>IF(ISBLANK($D$3),"",IF(ISERROR(ETPT_CA_JUR!J11),"",IF(ETPT_CA_JUR!J11=0,"",ETPT_CA_JUR!J11)))</f>
        <v/>
      </c>
      <c r="K11" s="135" t="str">
        <f>IF(ISBLANK($D$3),"",IF(ISERROR(ETPT_CA_JUR!K11),"",IF(ETPT_CA_JUR!K11=0,"",ETPT_CA_JUR!K11)))</f>
        <v/>
      </c>
      <c r="L11" s="135" t="str">
        <f>IF(ISBLANK($D$3),"",IF(ISERROR(ETPT_CA_JUR!L11),"",IF(ETPT_CA_JUR!L11=0,"",ETPT_CA_JUR!L11)))</f>
        <v/>
      </c>
      <c r="M11" s="135" t="str">
        <f>IF(ISBLANK($D$3),"",IF(ISERROR(ETPT_CA_JUR!M11),"",IF(ETPT_CA_JUR!M11=0,"",ETPT_CA_JUR!M11)))</f>
        <v/>
      </c>
      <c r="N11" s="135" t="str">
        <f>IF(ISBLANK($D$3),"",IF(ISERROR(ETPT_CA_JUR!N11),"",IF(ETPT_CA_JUR!N11=0,"",ETPT_CA_JUR!N11)))</f>
        <v/>
      </c>
      <c r="O11" s="136">
        <f>ETPT_CA_JUR!O11</f>
        <v>0</v>
      </c>
      <c r="P11" s="135" t="str">
        <f>IF(ISBLANK($D$3),"",IF(ISERROR(ETPT_CA_JUR!P11),"",IF(ETPT_CA_JUR!P11=0,"",ETPT_CA_JUR!P11)))</f>
        <v/>
      </c>
      <c r="Q11" s="135" t="str">
        <f>IF(ISBLANK($D$3),"",IF(ISERROR(ETPT_CA_JUR!Q11),"",IF(ETPT_CA_JUR!Q11=0,"",ETPT_CA_JUR!Q11)))</f>
        <v/>
      </c>
      <c r="R11" s="135" t="str">
        <f>IF(ISBLANK($D$3),"",IF(ISERROR(ETPT_CA_JUR!R11),"",IF(ETPT_CA_JUR!R11=0,"",ETPT_CA_JUR!R11)))</f>
        <v/>
      </c>
      <c r="S11" s="135" t="str">
        <f>IF(ISBLANK($D$3),"",IF(ISERROR(ETPT_CA_JUR!S11),"",IF(ETPT_CA_JUR!S11=0,"",ETPT_CA_JUR!S11)))</f>
        <v/>
      </c>
      <c r="T11" s="135" t="str">
        <f>IF(ISBLANK($D$3),"",IF(ISERROR(ETPT_CA_JUR!T11),"",IF(ETPT_CA_JUR!T11=0,"",ETPT_CA_JUR!T11)))</f>
        <v/>
      </c>
      <c r="U11" s="136">
        <f>ETPT_CA_JUR!U11</f>
        <v>0</v>
      </c>
      <c r="V11" s="135" t="str">
        <f>IF(ISBLANK($D$3),"",IF(ISERROR(ETPT_CA_JUR!V11),"",IF(ETPT_CA_JUR!V11=0,"",ETPT_CA_JUR!V11)))</f>
        <v/>
      </c>
      <c r="W11" s="135" t="str">
        <f>IF(ISBLANK($D$3),"",IF(ISERROR(ETPT_CA_JUR!W11),"",IF(ETPT_CA_JUR!W11=0,"",ETPT_CA_JUR!W11)))</f>
        <v/>
      </c>
      <c r="X11" s="135" t="str">
        <f>IF(ISBLANK($D$3),"",IF(ISERROR(ETPT_CA_JUR!X11),"",IF(ETPT_CA_JUR!X11=0,"",ETPT_CA_JUR!X11)))</f>
        <v/>
      </c>
      <c r="Y11" s="135" t="str">
        <f>IF(ISBLANK($D$3),"",IF(ISERROR(ETPT_CA_JUR!Y11),"",IF(ETPT_CA_JUR!Y11=0,"",ETPT_CA_JUR!Y11)))</f>
        <v/>
      </c>
      <c r="Z11" s="135" t="str">
        <f>IF(ISBLANK($D$3),"",IF(ISERROR(ETPT_CA_JUR!Z11),"",IF(ETPT_CA_JUR!Z11=0,"",ETPT_CA_JUR!Z11)))</f>
        <v/>
      </c>
      <c r="AA11" s="136">
        <f>ETPT_CA_JUR!AA11</f>
        <v>0</v>
      </c>
    </row>
    <row r="12" spans="1:27" x14ac:dyDescent="0.2">
      <c r="A12" s="40"/>
      <c r="B12" s="39"/>
      <c r="C12" s="39"/>
      <c r="D12" s="38" t="str">
        <f t="shared" si="0"/>
        <v>A</v>
      </c>
      <c r="E12" s="96" t="s">
        <v>41</v>
      </c>
      <c r="F12" s="96" t="s">
        <v>40</v>
      </c>
      <c r="G12" s="135" t="str">
        <f>IF(ISBLANK($D$3),"",IF(ISERROR(ETPT_CA_JUR!G12),"",IF(ETPT_CA_JUR!G12=0,"",ETPT_CA_JUR!G12)))</f>
        <v/>
      </c>
      <c r="H12" s="136">
        <f>ETPT_CA_JUR!H12</f>
        <v>0</v>
      </c>
      <c r="I12" s="135" t="str">
        <f>IF(ISBLANK($D$3),"",IF(ISERROR(ETPT_CA_JUR!I12),"",IF(ETPT_CA_JUR!I12=0,"",ETPT_CA_JUR!I12)))</f>
        <v/>
      </c>
      <c r="J12" s="135" t="str">
        <f>IF(ISBLANK($D$3),"",IF(ISERROR(ETPT_CA_JUR!J12),"",IF(ETPT_CA_JUR!J12=0,"",ETPT_CA_JUR!J12)))</f>
        <v/>
      </c>
      <c r="K12" s="135" t="str">
        <f>IF(ISBLANK($D$3),"",IF(ISERROR(ETPT_CA_JUR!K12),"",IF(ETPT_CA_JUR!K12=0,"",ETPT_CA_JUR!K12)))</f>
        <v/>
      </c>
      <c r="L12" s="135" t="str">
        <f>IF(ISBLANK($D$3),"",IF(ISERROR(ETPT_CA_JUR!L12),"",IF(ETPT_CA_JUR!L12=0,"",ETPT_CA_JUR!L12)))</f>
        <v/>
      </c>
      <c r="M12" s="135" t="str">
        <f>IF(ISBLANK($D$3),"",IF(ISERROR(ETPT_CA_JUR!M12),"",IF(ETPT_CA_JUR!M12=0,"",ETPT_CA_JUR!M12)))</f>
        <v/>
      </c>
      <c r="N12" s="135" t="str">
        <f>IF(ISBLANK($D$3),"",IF(ISERROR(ETPT_CA_JUR!N12),"",IF(ETPT_CA_JUR!N12=0,"",ETPT_CA_JUR!N12)))</f>
        <v/>
      </c>
      <c r="O12" s="136">
        <f>ETPT_CA_JUR!O12</f>
        <v>0</v>
      </c>
      <c r="P12" s="135" t="str">
        <f>IF(ISBLANK($D$3),"",IF(ISERROR(ETPT_CA_JUR!P12),"",IF(ETPT_CA_JUR!P12=0,"",ETPT_CA_JUR!P12)))</f>
        <v/>
      </c>
      <c r="Q12" s="135" t="str">
        <f>IF(ISBLANK($D$3),"",IF(ISERROR(ETPT_CA_JUR!Q12),"",IF(ETPT_CA_JUR!Q12=0,"",ETPT_CA_JUR!Q12)))</f>
        <v/>
      </c>
      <c r="R12" s="135" t="str">
        <f>IF(ISBLANK($D$3),"",IF(ISERROR(ETPT_CA_JUR!R12),"",IF(ETPT_CA_JUR!R12=0,"",ETPT_CA_JUR!R12)))</f>
        <v/>
      </c>
      <c r="S12" s="135" t="str">
        <f>IF(ISBLANK($D$3),"",IF(ISERROR(ETPT_CA_JUR!S12),"",IF(ETPT_CA_JUR!S12=0,"",ETPT_CA_JUR!S12)))</f>
        <v/>
      </c>
      <c r="T12" s="135" t="str">
        <f>IF(ISBLANK($D$3),"",IF(ISERROR(ETPT_CA_JUR!T12),"",IF(ETPT_CA_JUR!T12=0,"",ETPT_CA_JUR!T12)))</f>
        <v/>
      </c>
      <c r="U12" s="136">
        <f>ETPT_CA_JUR!U12</f>
        <v>0</v>
      </c>
      <c r="V12" s="135" t="str">
        <f>IF(ISBLANK($D$3),"",IF(ISERROR(ETPT_CA_JUR!V12),"",IF(ETPT_CA_JUR!V12=0,"",ETPT_CA_JUR!V12)))</f>
        <v/>
      </c>
      <c r="W12" s="135" t="str">
        <f>IF(ISBLANK($D$3),"",IF(ISERROR(ETPT_CA_JUR!W12),"",IF(ETPT_CA_JUR!W12=0,"",ETPT_CA_JUR!W12)))</f>
        <v/>
      </c>
      <c r="X12" s="135" t="str">
        <f>IF(ISBLANK($D$3),"",IF(ISERROR(ETPT_CA_JUR!X12),"",IF(ETPT_CA_JUR!X12=0,"",ETPT_CA_JUR!X12)))</f>
        <v/>
      </c>
      <c r="Y12" s="135" t="str">
        <f>IF(ISBLANK($D$3),"",IF(ISERROR(ETPT_CA_JUR!Y12),"",IF(ETPT_CA_JUR!Y12=0,"",ETPT_CA_JUR!Y12)))</f>
        <v/>
      </c>
      <c r="Z12" s="135" t="str">
        <f>IF(ISBLANK($D$3),"",IF(ISERROR(ETPT_CA_JUR!Z12),"",IF(ETPT_CA_JUR!Z12=0,"",ETPT_CA_JUR!Z12)))</f>
        <v/>
      </c>
      <c r="AA12" s="136">
        <f>ETPT_CA_JUR!AA12</f>
        <v>0</v>
      </c>
    </row>
    <row r="13" spans="1:27" x14ac:dyDescent="0.2">
      <c r="D13" s="38" t="str">
        <f t="shared" si="0"/>
        <v>A</v>
      </c>
      <c r="E13" s="96" t="s">
        <v>114</v>
      </c>
      <c r="F13" s="96" t="s">
        <v>115</v>
      </c>
      <c r="G13" s="135" t="str">
        <f>IF(ISBLANK($D$3),"",IF(ISERROR(ETPT_CA_JUR!G13),"",IF(ETPT_CA_JUR!G13=0,"",ETPT_CA_JUR!G13)))</f>
        <v/>
      </c>
      <c r="H13" s="136">
        <f>ETPT_CA_JUR!H13</f>
        <v>0</v>
      </c>
      <c r="I13" s="135" t="str">
        <f>IF(ISBLANK($D$3),"",IF(ISERROR(ETPT_CA_JUR!I13),"",IF(ETPT_CA_JUR!I13=0,"",ETPT_CA_JUR!I13)))</f>
        <v/>
      </c>
      <c r="J13" s="135" t="str">
        <f>IF(ISBLANK($D$3),"",IF(ISERROR(ETPT_CA_JUR!J13),"",IF(ETPT_CA_JUR!J13=0,"",ETPT_CA_JUR!J13)))</f>
        <v/>
      </c>
      <c r="K13" s="135" t="str">
        <f>IF(ISBLANK($D$3),"",IF(ISERROR(ETPT_CA_JUR!K13),"",IF(ETPT_CA_JUR!K13=0,"",ETPT_CA_JUR!K13)))</f>
        <v/>
      </c>
      <c r="L13" s="135" t="str">
        <f>IF(ISBLANK($D$3),"",IF(ISERROR(ETPT_CA_JUR!L13),"",IF(ETPT_CA_JUR!L13=0,"",ETPT_CA_JUR!L13)))</f>
        <v/>
      </c>
      <c r="M13" s="135" t="str">
        <f>IF(ISBLANK($D$3),"",IF(ISERROR(ETPT_CA_JUR!M13),"",IF(ETPT_CA_JUR!M13=0,"",ETPT_CA_JUR!M13)))</f>
        <v/>
      </c>
      <c r="N13" s="135" t="str">
        <f>IF(ISBLANK($D$3),"",IF(ISERROR(ETPT_CA_JUR!N13),"",IF(ETPT_CA_JUR!N13=0,"",ETPT_CA_JUR!N13)))</f>
        <v/>
      </c>
      <c r="O13" s="136">
        <f>ETPT_CA_JUR!O13</f>
        <v>0</v>
      </c>
      <c r="P13" s="135" t="str">
        <f>IF(ISBLANK($D$3),"",IF(ISERROR(ETPT_CA_JUR!P13),"",IF(ETPT_CA_JUR!P13=0,"",ETPT_CA_JUR!P13)))</f>
        <v/>
      </c>
      <c r="Q13" s="135" t="str">
        <f>IF(ISBLANK($D$3),"",IF(ISERROR(ETPT_CA_JUR!Q13),"",IF(ETPT_CA_JUR!Q13=0,"",ETPT_CA_JUR!Q13)))</f>
        <v/>
      </c>
      <c r="R13" s="135" t="str">
        <f>IF(ISBLANK($D$3),"",IF(ISERROR(ETPT_CA_JUR!R13),"",IF(ETPT_CA_JUR!R13=0,"",ETPT_CA_JUR!R13)))</f>
        <v/>
      </c>
      <c r="S13" s="135" t="str">
        <f>IF(ISBLANK($D$3),"",IF(ISERROR(ETPT_CA_JUR!S13),"",IF(ETPT_CA_JUR!S13=0,"",ETPT_CA_JUR!S13)))</f>
        <v/>
      </c>
      <c r="T13" s="135" t="str">
        <f>IF(ISBLANK($D$3),"",IF(ISERROR(ETPT_CA_JUR!T13),"",IF(ETPT_CA_JUR!T13=0,"",ETPT_CA_JUR!T13)))</f>
        <v/>
      </c>
      <c r="U13" s="136">
        <f>ETPT_CA_JUR!U13</f>
        <v>0</v>
      </c>
      <c r="V13" s="135" t="str">
        <f>IF(ISBLANK($D$3),"",IF(ISERROR(ETPT_CA_JUR!V13),"",IF(ETPT_CA_JUR!V13=0,"",ETPT_CA_JUR!V13)))</f>
        <v/>
      </c>
      <c r="W13" s="135" t="str">
        <f>IF(ISBLANK($D$3),"",IF(ISERROR(ETPT_CA_JUR!W13),"",IF(ETPT_CA_JUR!W13=0,"",ETPT_CA_JUR!W13)))</f>
        <v/>
      </c>
      <c r="X13" s="135" t="str">
        <f>IF(ISBLANK($D$3),"",IF(ISERROR(ETPT_CA_JUR!X13),"",IF(ETPT_CA_JUR!X13=0,"",ETPT_CA_JUR!X13)))</f>
        <v/>
      </c>
      <c r="Y13" s="135" t="str">
        <f>IF(ISBLANK($D$3),"",IF(ISERROR(ETPT_CA_JUR!Y13),"",IF(ETPT_CA_JUR!Y13=0,"",ETPT_CA_JUR!Y13)))</f>
        <v/>
      </c>
      <c r="Z13" s="135" t="str">
        <f>IF(ISBLANK($D$3),"",IF(ISERROR(ETPT_CA_JUR!Z13),"",IF(ETPT_CA_JUR!Z13=0,"",ETPT_CA_JUR!Z13)))</f>
        <v/>
      </c>
      <c r="AA13" s="136">
        <f>ETPT_CA_JUR!AA13</f>
        <v>0</v>
      </c>
    </row>
    <row r="14" spans="1:27" x14ac:dyDescent="0.2">
      <c r="D14" s="38" t="str">
        <f>IF(ISBLANK($D$3),"",$D$3)</f>
        <v>A</v>
      </c>
      <c r="E14" s="96" t="s">
        <v>39</v>
      </c>
      <c r="F14" s="96" t="s">
        <v>38</v>
      </c>
      <c r="G14" s="135" t="str">
        <f>IF(ISBLANK($D$3),"",IF(ISERROR(ETPT_CA_JUR!G14),"",IF(ETPT_CA_JUR!G14=0,"",ETPT_CA_JUR!G14)))</f>
        <v/>
      </c>
      <c r="H14" s="136">
        <f>ETPT_CA_JUR!H14</f>
        <v>0</v>
      </c>
      <c r="I14" s="135" t="str">
        <f>IF(ISBLANK($D$3),"",IF(ISERROR(ETPT_CA_JUR!I14),"",IF(ETPT_CA_JUR!I14=0,"",ETPT_CA_JUR!I14)))</f>
        <v/>
      </c>
      <c r="J14" s="135" t="str">
        <f>IF(ISBLANK($D$3),"",IF(ISERROR(ETPT_CA_JUR!J14),"",IF(ETPT_CA_JUR!J14=0,"",ETPT_CA_JUR!J14)))</f>
        <v/>
      </c>
      <c r="K14" s="135" t="str">
        <f>IF(ISBLANK($D$3),"",IF(ISERROR(ETPT_CA_JUR!K14),"",IF(ETPT_CA_JUR!K14=0,"",ETPT_CA_JUR!K14)))</f>
        <v/>
      </c>
      <c r="L14" s="135" t="str">
        <f>IF(ISBLANK($D$3),"",IF(ISERROR(ETPT_CA_JUR!L14),"",IF(ETPT_CA_JUR!L14=0,"",ETPT_CA_JUR!L14)))</f>
        <v/>
      </c>
      <c r="M14" s="135" t="str">
        <f>IF(ISBLANK($D$3),"",IF(ISERROR(ETPT_CA_JUR!M14),"",IF(ETPT_CA_JUR!M14=0,"",ETPT_CA_JUR!M14)))</f>
        <v/>
      </c>
      <c r="N14" s="135" t="str">
        <f>IF(ISBLANK($D$3),"",IF(ISERROR(ETPT_CA_JUR!N14),"",IF(ETPT_CA_JUR!N14=0,"",ETPT_CA_JUR!N14)))</f>
        <v/>
      </c>
      <c r="O14" s="136">
        <f>ETPT_CA_JUR!O14</f>
        <v>0</v>
      </c>
      <c r="P14" s="135" t="str">
        <f>IF(ISBLANK($D$3),"",IF(ISERROR(ETPT_CA_JUR!P14),"",IF(ETPT_CA_JUR!P14=0,"",ETPT_CA_JUR!P14)))</f>
        <v/>
      </c>
      <c r="Q14" s="135" t="str">
        <f>IF(ISBLANK($D$3),"",IF(ISERROR(ETPT_CA_JUR!Q14),"",IF(ETPT_CA_JUR!Q14=0,"",ETPT_CA_JUR!Q14)))</f>
        <v/>
      </c>
      <c r="R14" s="135" t="str">
        <f>IF(ISBLANK($D$3),"",IF(ISERROR(ETPT_CA_JUR!R14),"",IF(ETPT_CA_JUR!R14=0,"",ETPT_CA_JUR!R14)))</f>
        <v/>
      </c>
      <c r="S14" s="135" t="str">
        <f>IF(ISBLANK($D$3),"",IF(ISERROR(ETPT_CA_JUR!S14),"",IF(ETPT_CA_JUR!S14=0,"",ETPT_CA_JUR!S14)))</f>
        <v/>
      </c>
      <c r="T14" s="135" t="str">
        <f>IF(ISBLANK($D$3),"",IF(ISERROR(ETPT_CA_JUR!T14),"",IF(ETPT_CA_JUR!T14=0,"",ETPT_CA_JUR!T14)))</f>
        <v/>
      </c>
      <c r="U14" s="136">
        <f>ETPT_CA_JUR!U14</f>
        <v>0</v>
      </c>
      <c r="V14" s="135" t="str">
        <f>IF(ISBLANK($D$3),"",IF(ISERROR(ETPT_CA_JUR!V14),"",IF(ETPT_CA_JUR!V14=0,"",ETPT_CA_JUR!V14)))</f>
        <v/>
      </c>
      <c r="W14" s="135" t="str">
        <f>IF(ISBLANK($D$3),"",IF(ISERROR(ETPT_CA_JUR!W14),"",IF(ETPT_CA_JUR!W14=0,"",ETPT_CA_JUR!W14)))</f>
        <v/>
      </c>
      <c r="X14" s="135" t="str">
        <f>IF(ISBLANK($D$3),"",IF(ISERROR(ETPT_CA_JUR!X14),"",IF(ETPT_CA_JUR!X14=0,"",ETPT_CA_JUR!X14)))</f>
        <v/>
      </c>
      <c r="Y14" s="135" t="str">
        <f>IF(ISBLANK($D$3),"",IF(ISERROR(ETPT_CA_JUR!Y14),"",IF(ETPT_CA_JUR!Y14=0,"",ETPT_CA_JUR!Y14)))</f>
        <v/>
      </c>
      <c r="Z14" s="135" t="str">
        <f>IF(ISBLANK($D$3),"",IF(ISERROR(ETPT_CA_JUR!Z14),"",IF(ETPT_CA_JUR!Z14=0,"",ETPT_CA_JUR!Z14)))</f>
        <v/>
      </c>
      <c r="AA14" s="136">
        <f>ETPT_CA_JUR!AA14</f>
        <v>0</v>
      </c>
    </row>
    <row r="15" spans="1:27" x14ac:dyDescent="0.2">
      <c r="D15" s="38"/>
      <c r="E15" s="97"/>
      <c r="F15" s="98" t="s">
        <v>37</v>
      </c>
      <c r="G15" s="136">
        <f>ETPT_CA_JUR!G15</f>
        <v>0</v>
      </c>
      <c r="H15" s="136">
        <f>ETPT_CA_JUR!H15</f>
        <v>0</v>
      </c>
      <c r="I15" s="136">
        <f>ETPT_CA_JUR!I15</f>
        <v>0</v>
      </c>
      <c r="J15" s="136">
        <f>ETPT_CA_JUR!J15</f>
        <v>0</v>
      </c>
      <c r="K15" s="136">
        <f>ETPT_CA_JUR!K15</f>
        <v>0</v>
      </c>
      <c r="L15" s="136">
        <f>ETPT_CA_JUR!L15</f>
        <v>0</v>
      </c>
      <c r="M15" s="136">
        <f>ETPT_CA_JUR!M15</f>
        <v>0</v>
      </c>
      <c r="N15" s="136">
        <f>ETPT_CA_JUR!N15</f>
        <v>0</v>
      </c>
      <c r="O15" s="136">
        <f>ETPT_CA_JUR!O15</f>
        <v>0</v>
      </c>
      <c r="P15" s="136">
        <f>ETPT_CA_JUR!P15</f>
        <v>0</v>
      </c>
      <c r="Q15" s="136">
        <f>ETPT_CA_JUR!Q15</f>
        <v>0</v>
      </c>
      <c r="R15" s="136">
        <f>ETPT_CA_JUR!R15</f>
        <v>0</v>
      </c>
      <c r="S15" s="136">
        <f>ETPT_CA_JUR!S15</f>
        <v>0</v>
      </c>
      <c r="T15" s="136">
        <f>ETPT_CA_JUR!T15</f>
        <v>0</v>
      </c>
      <c r="U15" s="136">
        <f>ETPT_CA_JUR!U15</f>
        <v>0</v>
      </c>
      <c r="V15" s="136">
        <f>ETPT_CA_JUR!V15</f>
        <v>0</v>
      </c>
      <c r="W15" s="136">
        <f>ETPT_CA_JUR!W15</f>
        <v>0</v>
      </c>
      <c r="X15" s="136">
        <f>ETPT_CA_JUR!X15</f>
        <v>0</v>
      </c>
      <c r="Y15" s="136">
        <f>ETPT_CA_JUR!Y15</f>
        <v>0</v>
      </c>
      <c r="Z15" s="136">
        <f>ETPT_CA_JUR!Z15</f>
        <v>0</v>
      </c>
      <c r="AA15" s="136">
        <f>ETPT_CA_JUR!AA15</f>
        <v>0</v>
      </c>
    </row>
    <row r="16" spans="1:27" x14ac:dyDescent="0.2">
      <c r="D16" s="133"/>
      <c r="E16" s="133"/>
      <c r="F16" s="133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</row>
    <row r="17" spans="1:27" ht="24" x14ac:dyDescent="0.2">
      <c r="A17" s="4"/>
      <c r="B17"/>
      <c r="C17"/>
      <c r="D17" s="134"/>
      <c r="E17" s="134"/>
      <c r="F17" s="150" t="s">
        <v>118</v>
      </c>
      <c r="G17" s="139" t="str">
        <f>IF(ISBLANK($D$3),"",IF(ISERROR(ETPT_CA_JUR!G17),"",IF(ETPT_CA_JUR!G17=0,"",ETPT_CA_JUR!G17)))</f>
        <v/>
      </c>
      <c r="H17" s="138"/>
      <c r="I17" s="203" t="s">
        <v>119</v>
      </c>
      <c r="J17" s="204"/>
      <c r="K17" s="204"/>
      <c r="L17" s="204"/>
      <c r="M17" s="205"/>
      <c r="N17" s="139" t="str">
        <f>IF(ISBLANK($D$3),"",IF(ISERROR(ETPT_CA_JUR!N17),"",IF(ETPT_CA_JUR!N17=0,"",ETPT_CA_JUR!N17)))</f>
        <v/>
      </c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</sheetData>
  <mergeCells count="1">
    <mergeCell ref="I17:M1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4CC5-4631-9C4D-9EF1-39CD273D3537}">
  <sheetPr>
    <tabColor rgb="FF0070C0"/>
  </sheetPr>
  <dimension ref="A1:P11"/>
  <sheetViews>
    <sheetView topLeftCell="C1" zoomScaleNormal="100" workbookViewId="0">
      <selection activeCell="F4" sqref="F4"/>
    </sheetView>
  </sheetViews>
  <sheetFormatPr baseColWidth="10" defaultRowHeight="15" x14ac:dyDescent="0.2"/>
  <cols>
    <col min="3" max="3" width="73.83203125" customWidth="1"/>
    <col min="4" max="15" width="23.6640625" customWidth="1"/>
    <col min="16" max="16" width="15.33203125" customWidth="1"/>
  </cols>
  <sheetData>
    <row r="1" spans="1:16" ht="74" customHeight="1" x14ac:dyDescent="0.25">
      <c r="A1" s="3" t="s">
        <v>120</v>
      </c>
      <c r="B1" s="7"/>
      <c r="C1" s="6"/>
      <c r="D1" s="6"/>
      <c r="E1" s="7"/>
      <c r="F1" s="7" t="s">
        <v>329</v>
      </c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71" customHeight="1" x14ac:dyDescent="0.2">
      <c r="A2" s="108" t="s">
        <v>32</v>
      </c>
      <c r="B2" s="108" t="s">
        <v>146</v>
      </c>
      <c r="C2" s="108" t="s">
        <v>72</v>
      </c>
      <c r="D2" s="99" t="s">
        <v>256</v>
      </c>
      <c r="E2" s="99" t="s">
        <v>257</v>
      </c>
      <c r="F2" s="99" t="s">
        <v>329</v>
      </c>
      <c r="G2" s="99" t="s">
        <v>330</v>
      </c>
      <c r="H2" s="99" t="s">
        <v>331</v>
      </c>
      <c r="I2" s="99" t="s">
        <v>338</v>
      </c>
      <c r="J2" s="99" t="s">
        <v>332</v>
      </c>
      <c r="K2" s="99" t="s">
        <v>333</v>
      </c>
      <c r="L2" s="99" t="s">
        <v>335</v>
      </c>
      <c r="M2" s="99" t="s">
        <v>336</v>
      </c>
      <c r="N2" s="99" t="s">
        <v>337</v>
      </c>
      <c r="O2" s="99" t="s">
        <v>334</v>
      </c>
      <c r="P2" s="128"/>
    </row>
    <row r="3" spans="1:16" x14ac:dyDescent="0.2">
      <c r="A3" s="117" t="s">
        <v>129</v>
      </c>
      <c r="B3" s="116" t="s">
        <v>59</v>
      </c>
      <c r="C3" s="116" t="s">
        <v>58</v>
      </c>
      <c r="D3" s="113" t="e" cm="1">
        <f t="array" ref="D3">SUM(SUMIFS(
INDEX( 'ETPT Format DDG'!$A:$ZZ,,MATCH("1. TOTAL CONTENTIEUX SOCIAL",'ETPT Format DDG'!2:2,0)),
INDEX( 'ETPT Format DDG'!$A:$ZZ,,MATCH("Fonction recodée",'ETPT Format DDG'!2:2,0)),{"CONT A VIF Parquet";"CONT A VIF Siège";"CONT A JP Parquet";"CONT A JP Siège"}))+
SUM(SUMIFS(
INDEX( 'ETPT Format DDG'!$A:$ZZ,,MATCH("2. TOTAL CONTENTIEUX COMMERCIAL",'ETPT Format DDG'!2:2,0)),
INDEX( 'ETPT Format DDG'!$A:$ZZ,,MATCH("Fonction recodée",'ETPT Format DDG'!2:2,0)),{"CONT A VIF Parquet";"CONT A VIF Siège";"CONT A JP Parquet";"CONT A JP Siège"}))+
SUM(SUMIFS(
INDEX( 'ETPT Format DDG'!$A:$ZZ,,MATCH("3. TOTAL CONTENTIEUX DE LA FAMILLE",'ETPT Format DDG'!2:2,0)),
INDEX( 'ETPT Format DDG'!$A:$ZZ,,MATCH("Fonction recodée",'ETPT Format DDG'!2:2,0)),{"CONT A VIF Parquet";"CONT A VIF Siège";"CONT A JP Parquet";"CONT A JP Siège"}))+
SUM(SUMIFS(
INDEX( 'ETPT Format DDG'!$A:$ZZ,,MATCH("4. TOTAL CONTENTIEUX DE LA PROTECTION",'ETPT Format DDG'!2:2,0)),
INDEX( 'ETPT Format DDG'!$A:$ZZ,,MATCH("Fonction recodée",'ETPT Format DDG'!2:2,0)),{"CONT A VIF Parquet";"CONT A VIF Siège";"CONT A JP Parquet";"CONT A JP Siège"}))+
SUM(SUMIFS(
INDEX( 'ETPT Format DDG'!$A:$ZZ,,MATCH("5. TOTAL CONTENTIEUX CIVIL NON SPÉCIALISÉ",'ETPT Format DDG'!2:2,0)),
INDEX( 'ETPT Format DDG'!$A:$ZZ,,MATCH("Fonction recodée",'ETPT Format DDG'!2:2,0)),{"CONT A VIF Parquet";"CONT A VIF Siège";"CONT A JP Parquet";"CONT A JP Siège"}))+
SUM(SUMIFS(
INDEX( 'ETPT Format DDG'!$A:$ZZ,,MATCH("12. TOTAL ATTRIBUTIONS DU PP",'ETPT Format DDG'!2:2,0)),
INDEX( 'ETPT Format DDG'!$A:$ZZ,,MATCH("Fonction recodée",'ETPT Format DDG'!2:2,0)),{"CONT A VIF Parquet";"CONT A VIF Siège";"CONT A JP Parquet";"CONT A JP Siège"}))-
SUM(SUMIFS(
INDEX( 'ETPT Format DDG'!$A:$ZZ,,MATCH("12.5. EXTRADITIONS ET MAE",'ETPT Format DDG'!2:2,0)),
INDEX( 'ETPT Format DDG'!$A:$ZZ,,MATCH("Fonction recodée",'ETPT Format DDG'!2:2,0)),{"CONT A VIF Parquet";"CONT A VIF Siège";"CONT A JP Parquet";"CONT A JP Siège"}))-
SUM(SUMIFS(
INDEX( 'ETPT Format DDG'!$A:$ZZ,,MATCH("12.6. SAISIES ET CONFISCATIONS DES AVOIRS CRIMINELS",'ETPT Format DDG'!2:2,0)),
INDEX( 'ETPT Format DDG'!$A:$ZZ,,MATCH("Fonction recodée",'ETPT Format DDG'!2:2,0)),{"CONT A VIF Parquet";"CONT A VIF Siège";"CONT A JP Parquet";"CONT A JP Siège"}))-
SUM(SUMIFS(
INDEX( 'ETPT Format DDG'!$A:$ZZ,,MATCH("12.9. AUTRES APPELS JLD",'ETPT Format DDG'!2:2,0)),
INDEX( 'ETPT Format DDG'!$A:$ZZ,,MATCH("Fonction recodée",'ETPT Format DDG'!2:2,0)),{"CONT A VIF Parquet";"CONT A VIF Siège";"CONT A JP Parquet";"CONT A JP Siège"}))+
SUM(SUMIFS(
INDEX( 'ETPT Format DDG'!$A:$ZZ,,MATCH("7.1. ACTIVITÉ CIVILE",'ETPT Format DDG'!2:2,0)),
INDEX( 'ETPT Format DDG'!$A:$ZZ,,MATCH("Fonction recodée",'ETPT Format DDG'!2:2,0)),{"CONT A VIF Parquet";"CONT A VIF Siège";"CONT A JP Parquet";"CONT A JP Siège"}))</f>
        <v>#N/A</v>
      </c>
      <c r="E3" s="113" t="e" cm="1">
        <f t="array" ref="E3">SUM(SUMIFS(
INDEX( 'ETPT Format DDG'!$A:$ZZ,,MATCH("13.9. FONCTIONNAIRES / AJ AFFECTÉS AUX ACTIVITÉS CIVILES ET COMMERCIALES DU PARQUET GÉNÉRAL",'ETPT Format DDG'!2:2,0)),
INDEX( 'ETPT Format DDG'!$A:$ZZ,,MATCH("Fonction recodée",'ETPT Format DDG'!2:2,0)),{"CONT A VIF Parquet";"CONT A VIF Siège";"CONT A JP Parquet";"CONT A JP Siège"}))</f>
        <v>#N/A</v>
      </c>
      <c r="F3" s="112" t="e" cm="1">
        <f t="array" ref="F3">SUM(SUMIFS(
INDEX( 'ETPT Format DDG'!$A:$ZZ,,MATCH("1. TOTAL CONTENTIEUX SOCIAL",'ETPT Format DDG'!2:2,0)),
INDEX( 'ETPT Format DDG'!$A:$ZZ,,MATCH("Fonction recodée",'ETPT Format DDG'!2:2,0)),{"JA/AttJ Parquet";"JA/AttJ Siège autres";"JA/AttJ Siège Assises";"JA/AttJ Siège CCD"}))+
SUM(SUMIFS(
INDEX( 'ETPT Format DDG'!$A:$ZZ,,MATCH("2. TOTAL CONTENTIEUX COMMERCIAL",'ETPT Format DDG'!2:2,0)),
INDEX( 'ETPT Format DDG'!$A:$ZZ,,MATCH("Fonction recodée",'ETPT Format DDG'!2:2,0)),{"JA/AttJ Parquet";"JA/AttJ Siège autres";"JA/AttJ Siège Assises";"JA/AttJ Siège CCD"}))+
SUM(SUMIFS(
INDEX( 'ETPT Format DDG'!$A:$ZZ,,MATCH("3. TOTAL CONTENTIEUX DE LA FAMILLE",'ETPT Format DDG'!2:2,0)),
INDEX( 'ETPT Format DDG'!$A:$ZZ,,MATCH("Fonction recodée",'ETPT Format DDG'!2:2,0)),{"JA/AttJ Parquet";"JA/AttJ Siège autres";"JA/AttJ Siège Assises";"JA/AttJ Siège CCD"}))+
SUM(SUMIFS(
INDEX( 'ETPT Format DDG'!$A:$ZZ,,MATCH("4. TOTAL CONTENTIEUX DE LA PROTECTION",'ETPT Format DDG'!2:2,0)),
INDEX( 'ETPT Format DDG'!$A:$ZZ,,MATCH("Fonction recodée",'ETPT Format DDG'!2:2,0)),{"JA/AttJ Parquet";"JA/AttJ Siège autres";"JA/AttJ Siège Assises";"JA/AttJ Siège CCD"}))+
SUM(SUMIFS(
INDEX( 'ETPT Format DDG'!$A:$ZZ,,MATCH("5. TOTAL CONTENTIEUX CIVIL NON SPÉCIALISÉ",'ETPT Format DDG'!2:2,0)),
INDEX( 'ETPT Format DDG'!$A:$ZZ,,MATCH("Fonction recodée",'ETPT Format DDG'!2:2,0)),{"JA/AttJ Parquet";"JA/AttJ Siège autres";"JA/AttJ Siège Assises";"JA/AttJ Siège CCD"}))+
SUM(SUMIFS(
INDEX( 'ETPT Format DDG'!$A:$ZZ,,MATCH("12. TOTAL ATTRIBUTIONS DU PP",'ETPT Format DDG'!2:2,0)),
INDEX( 'ETPT Format DDG'!$A:$ZZ,,MATCH("Fonction recodée",'ETPT Format DDG'!2:2,0)),{"JA/AttJ Parquet";"JA/AttJ Siège autres";"JA/AttJ Siège Assises";"JA/AttJ Siège CCD"}))-
SUM(SUMIFS(
INDEX( 'ETPT Format DDG'!$A:$ZZ,,MATCH("12.5. EXTRADITIONS ET MAE",'ETPT Format DDG'!2:2,0)),
INDEX( 'ETPT Format DDG'!$A:$ZZ,,MATCH("Fonction recodée",'ETPT Format DDG'!2:2,0)),{"JA/AttJ Parquet";"JA/AttJ Siège autres";"JA/AttJ Siège Assises";"JA/AttJ Siège CCD"}))-
SUM(SUMIFS(
INDEX( 'ETPT Format DDG'!$A:$ZZ,,MATCH("12.6. SAISIES ET CONFISCATIONS DES AVOIRS CRIMINELS",'ETPT Format DDG'!2:2,0)),
INDEX( 'ETPT Format DDG'!$A:$ZZ,,MATCH("Fonction recodée",'ETPT Format DDG'!2:2,0)),{"JA/AttJ Parquet";"JA/AttJ Siège autres";"JA/AttJ Siège Assises";"JA/AttJ Siège CCD"}))-
SUM(SUMIFS(
INDEX( 'ETPT Format DDG'!$A:$ZZ,,MATCH("12.9. AUTRES APPELS JLD",'ETPT Format DDG'!2:2,0)),
INDEX( 'ETPT Format DDG'!$A:$ZZ,,MATCH("Fonction recodée",'ETPT Format DDG'!2:2,0)),{"JA/AttJ Parquet";"JA/AttJ Siège autres";"JA/AttJ Siège Assises";"JA/AttJ Siège CCD"}))+
SUM(SUMIFS(
INDEX( 'ETPT Format DDG'!$A:$ZZ,,MATCH("7.1. ACTIVITÉ CIVILE",'ETPT Format DDG'!2:2,0)),
INDEX( 'ETPT Format DDG'!$A:$ZZ,,MATCH("Fonction recodée",'ETPT Format DDG'!2:2,0)),{"JA/AttJ Parquet";"JA/AttJ Siège autres";"JA/AttJ Siège Assises";"JA/AttJ Siège CCD"}))</f>
        <v>#N/A</v>
      </c>
      <c r="G3" s="160"/>
      <c r="H3" s="160"/>
      <c r="I3" s="112" t="e" cm="1">
        <f t="array" ref="I3">SUM(SUMIFS(
INDEX('ETPT Format DDG'!$A:$ZZ,,MATCH("13.9. FONCTIONNAIRES / AJ AFFECTÉS AUX ACTIVITÉS CIVILES ET COMMERCIALES DU PARQUET GÉNÉRAL",'ETPT Format DDG'!2:2,0)),
INDEX('ETPT Format DDG'!$A:$ZZ,,MATCH("Fonction recodée",'ETPT Format DDG'!2:2,0)),{"JA/AttJ Parquet";"JA/AttJ Siège autres";"JA/AttJ Siège Assises";"JA/AttJ Siège CCD"}))</f>
        <v>#N/A</v>
      </c>
      <c r="J3" s="177"/>
      <c r="K3" s="177"/>
      <c r="P3" s="114">
        <f t="shared" ref="P3:P10" si="0">_xlfn.AGGREGATE(9,6,D3:O3)</f>
        <v>0</v>
      </c>
    </row>
    <row r="4" spans="1:16" x14ac:dyDescent="0.2">
      <c r="A4" s="117" t="s">
        <v>190</v>
      </c>
      <c r="B4" s="116" t="s">
        <v>57</v>
      </c>
      <c r="C4" s="116" t="s">
        <v>56</v>
      </c>
      <c r="D4" s="113" t="e" cm="1">
        <f t="array" ref="D4">SUM(SUMIFS(
INDEX( 'ETPT Format DDG'!$A:$ZZ,,MATCH("12.5. EXTRADITIONS ET MAE",'ETPT Format DDG'!2:2,0)),
INDEX( 'ETPT Format DDG'!$A:$ZZ,,MATCH("Fonction recodée",'ETPT Format DDG'!2:2,0)),{"CONT A VIF Parquet";"CONT A VIF Siège";"CONT A JP Parquet";"CONT A JP Siège"}))+
SUM(SUMIFS(
INDEX( 'ETPT Format DDG'!$A:$ZZ,,MATCH("12.6. SAISIES ET CONFISCATIONS DES AVOIRS CRIMINELS",'ETPT Format DDG'!2:2,0)),
INDEX( 'ETPT Format DDG'!$A:$ZZ,,MATCH("Fonction recodée",'ETPT Format DDG'!2:2,0)),{"CONT A VIF Parquet";"CONT A VIF Siège";"CONT A JP Parquet";"CONT A JP Siège"}))+
SUM(SUMIFS(
INDEX( 'ETPT Format DDG'!$A:$ZZ,,MATCH("12.9. AUTRES APPELS JLD",'ETPT Format DDG'!2:2,0)),
INDEX( 'ETPT Format DDG'!$A:$ZZ,,MATCH("Fonction recodée",'ETPT Format DDG'!2:2,0)),{"CONT A VIF Parquet";"CONT A VIF Siège";"CONT A JP Parquet";"CONT A JP Siège"}))+
SUM(SUMIFS(
INDEX( 'ETPT Format DDG'!$A:$ZZ,,MATCH("7.2. ACTIVITÉ PÉNALE",'ETPT Format DDG'!2:2,0)),
INDEX( 'ETPT Format DDG'!$A:$ZZ,,MATCH("Fonction recodée",'ETPT Format DDG'!2:2,0)),{"CONT A VIF Parquet";"CONT A VIF Siège";"CONT A JP Parquet";"CONT A JP Siège"}))+
SUM(SUMIFS(
INDEX( 'ETPT Format DDG'!$A:$ZZ,,MATCH("8. TOTAL CORRECTIONNEL",'ETPT Format DDG'!2:2,0)),
INDEX( 'ETPT Format DDG'!$A:$ZZ,,MATCH("Fonction recodée",'ETPT Format DDG'!2:2,0)),{"CONT A VIF Parquet";"CONT A VIF Siège";"CONT A JP Parquet";"CONT A JP Siège"}))+
SUM(SUMIFS(
INDEX( 'ETPT Format DDG'!$A:$ZZ,,MATCH("9. TOTAL INSTRUCTION ET ENTRAIDE",'ETPT Format DDG'!2:2,0)),
INDEX( 'ETPT Format DDG'!$A:$ZZ,,MATCH("Fonction recodée",'ETPT Format DDG'!2:2,0)),{"CONT A VIF Parquet";"CONT A VIF Siège";"CONT A JP Parquet";"CONT A JP Siège"}))+
SUM(SUMIFS(
INDEX( 'ETPT Format DDG'!$A:$ZZ,,MATCH("10. TOTAL APPLICATION DES PEINES",'ETPT Format DDG'!2:2,0)),
INDEX( 'ETPT Format DDG'!$A:$ZZ,,MATCH("Fonction recodée",'ETPT Format DDG'!2:2,0)),{"CONT A VIF Parquet";"CONT A VIF Siège";"CONT A JP Parquet";"CONT A JP Siège"}))+
SUM(SUMIFS(
INDEX( 'ETPT Format DDG'!$A:$ZZ,,MATCH("11. TOTAL CONTENTIEUX CRIMINEL",'ETPT Format DDG'!2:2,0)),
INDEX( 'ETPT Format DDG'!$A:$ZZ,,MATCH("Fonction recodée",'ETPT Format DDG'!2:2,0)),{"CONT A VIF Parquet";"CONT A VIF Siège";"CONT A JP Parquet";"CONT A JP Siège"}))</f>
        <v>#N/A</v>
      </c>
      <c r="E4" s="113" t="e" cm="1">
        <f t="array" ref="E4">SUM(SUMIFS(
INDEX( 'ETPT Format DDG'!$A:$ZZ,,MATCH("13.10. AUTRES FONCTIONNAIRES / AJ AFFECTÉS AU PARQUET GÉNÉRAL",'ETPT Format DDG'!2:2,0)),
INDEX( 'ETPT Format DDG'!$A:$ZZ,,MATCH("Fonction recodée",'ETPT Format DDG'!2:2,0)),{"CONT A VIF Parquet";"CONT A VIF Siège";"CONT A JP Parquet";"CONT A JP Siège"}))</f>
        <v>#N/A</v>
      </c>
      <c r="F4" s="112" t="e" cm="1">
        <f t="array" ref="F4">SUM(SUMIFS(
INDEX('ETPT Format DDG'!$A:$ZZ,,MATCH("12.5. EXTRADITIONS ET MAE",'ETPT Format DDG'!2:2,0)),
INDEX('ETPT Format DDG'!$A:$ZZ,,MATCH("Fonction recodée",'ETPT Format DDG'!2:2,0)),
{"JA/AttJ Parquet";"JA/AttJ Siège autres";"JA/AttJ Siège Assises";"JA/AttJ Siège CCD"}))
+SUM(SUMIFS(
INDEX('ETPT Format DDG'!$A:$ZZ,,MATCH("12.6. SAISIES ET CONFISCATIONS DES AVOIRS CRIMINELS",'ETPT Format DDG'!2:2,0)),
INDEX('ETPT Format DDG'!$A:$ZZ,,MATCH("Fonction recodée",'ETPT Format DDG'!2:2,0)),
{"JA/AttJ Parquet";"JA/AttJ Siège autres";"JA/AttJ Siège Assises";"JA/AttJ Siège CCD"}))
+SUM(SUMIFS(
INDEX('ETPT Format DDG'!$A:$ZZ,,MATCH("12.9. AUTRES APPELS JLD",'ETPT Format DDG'!2:2,0)),
INDEX('ETPT Format DDG'!$A:$ZZ,,MATCH("Fonction recodée",'ETPT Format DDG'!2:2,0)),
{"JA/AttJ Parquet";"JA/AttJ Siège autres";"JA/AttJ Siège Assises";"JA/AttJ Siège CCD"}))
+SUM(SUMIFS(
INDEX('ETPT Format DDG'!$A:$ZZ,,MATCH("7.2. ACTIVITÉ PÉNALE",'ETPT Format DDG'!2:2,0)),
INDEX('ETPT Format DDG'!$A:$ZZ,,MATCH("Fonction recodée",'ETPT Format DDG'!2:2,0)),
{"JA/AttJ Parquet";"JA/AttJ Siège autres";"JA/AttJ Siège Assises";"JA/AttJ Siège CCD"}))
+SUM(SUMIFS(
INDEX('ETPT Format DDG'!$A:$ZZ,,MATCH("8. TOTAL CORRECTIONNEL",'ETPT Format DDG'!2:2,0)),
INDEX('ETPT Format DDG'!$A:$ZZ,,MATCH("Fonction recodée",'ETPT Format DDG'!2:2,0)),
{"JA/AttJ Parquet";"JA/AttJ Siège autres";"JA/AttJ Siège Assises";"JA/AttJ Siège CCD"}))
+SUM(SUMIFS(
INDEX('ETPT Format DDG'!$A:$ZZ,,MATCH("9. TOTAL INSTRUCTION ET ENTRAIDE",'ETPT Format DDG'!2:2,0)),
INDEX('ETPT Format DDG'!$A:$ZZ,,MATCH("Fonction recodée",'ETPT Format DDG'!2:2,0)),
{"JA/AttJ Parquet";"JA/AttJ Siège autres";"JA/AttJ Siège Assises";"JA/AttJ Siège CCD"}))
+SUM(SUMIFS(
INDEX('ETPT Format DDG'!$A:$ZZ,,MATCH("10. TOTAL APPLICATION DES PEINES",'ETPT Format DDG'!2:2,0)),
INDEX('ETPT Format DDG'!$A:$ZZ,,MATCH("Fonction recodée",'ETPT Format DDG'!2:2,0)),
{"JA/AttJ Parquet";"JA/AttJ Siège autres";"JA/AttJ Siège Assises";"JA/AttJ Siège CCD"}))
+SUM(SUMIFS(
INDEX('ETPT Format DDG'!$A:$ZZ,,MATCH("11. TOTAL CONTENTIEUX CRIMINEL",'ETPT Format DDG'!2:2,0)),
INDEX('ETPT Format DDG'!$A:$ZZ,,MATCH("Fonction recodée",'ETPT Format DDG'!2:2,0)),
{"JA/AttJ Parquet";"JA/AttJ Siège autres";"JA/AttJ Siège Assises";"JA/AttJ Siège CCD"}))
-SUM(SUMIFS(
INDEX('ETPT Format DDG'!$A:$ZZ,,MATCH("11.1. ASSISES HORS JIRS",'ETPT Format DDG'!2:2,0)),
INDEX('ETPT Format DDG'!$A:$ZZ,,MATCH("Fonction recodée",'ETPT Format DDG'!2:2,0)),
{"JA/AttJ Parquet";"JA/AttJ Siège autres";"JA/AttJ Siège Assises";"JA/AttJ Siège CCD"}))
-SUM(SUMIFS(
INDEX('ETPT Format DDG'!$A:$ZZ,,MATCH("11.2 ASSISES JIRS",'ETPT Format DDG'!2:2,0)),
INDEX('ETPT Format DDG'!$A:$ZZ,,MATCH("Fonction recodée",'ETPT Format DDG'!2:2,0)),
{"JA/AttJ Parquet";"JA/AttJ Siège autres";"JA/AttJ Siège Assises";"JA/AttJ Siège CCD"}))
-SUM(SUMIFS(
INDEX('ETPT Format DDG'!$A:$ZZ,,MATCH("11.3. COUR CRIMINELLE DÉPARTEMENTALE",'ETPT Format DDG'!2:2,0)),
INDEX('ETPT Format DDG'!$A:$ZZ,,MATCH("Fonction recodée",'ETPT Format DDG'!2:2,0)),
{"JA/AttJ Parquet";"JA/AttJ Siège autres";"JA/AttJ Siège Assises";"JA/AttJ Siège CCD"}))</f>
        <v>#N/A</v>
      </c>
      <c r="G4" s="160" t="e" cm="1">
        <f t="array" ref="G4">SUM(SUMIFS(
INDEX( 'ETPT Format DDG'!$A:$ZZ,,MATCH("11.1. ASSISES HORS JIRS",'ETPT Format DDG'!2:2,0)),
INDEX( 'ETPT Format DDG'!$A:$ZZ,,MATCH("Fonction recodée",'ETPT Format DDG'!2:2,0)),{"JA/AttJ Parquet";"JA/AttJ Siège autres";"JA/AttJ Siège Assises";"JA/AttJ Siège CCD"}))+
SUM(SUMIFS(
INDEX( 'ETPT Format DDG'!$A:$ZZ,,MATCH("11.2 ASSISES JIRS",'ETPT Format DDG'!2:2,0)),
INDEX( 'ETPT Format DDG'!$A:$ZZ,,MATCH("Fonction recodée",'ETPT Format DDG'!2:2,0)),{"JA/AttJ Parquet";"JA/AttJ Siège autres";"JA/AttJ Siège Assises";"JA/AttJ Siège CCD"}))</f>
        <v>#N/A</v>
      </c>
      <c r="H4" s="160" t="e" cm="1">
        <f t="array" ref="H4">SUM(SUMIFS(
INDEX('ETPT Format DDG'!$A:$ZZ,,MATCH("11.3. COUR CRIMINELLE DÉPARTEMENTALE",'ETPT Format DDG'!2:2,0)),
INDEX('ETPT Format DDG'!$A:$ZZ,,MATCH("Fonction recodée",'ETPT Format DDG'!2:2,0)),{"JA/AttJ Parquet";"JA/AttJ Siège autres";"JA/AttJ Siège Assises";"JA/AttJ Siège CCD"}))</f>
        <v>#N/A</v>
      </c>
      <c r="I4" s="112" t="e" cm="1">
        <f t="array" ref="I4">SUM(SUMIFS(
INDEX( 'ETPT Format DDG'!$A:$ZZ,,MATCH("13.10. AUTRES FONCTIONNAIRES / AJ AFFECTÉS AU PARQUET GÉNÉRAL",'ETPT Format DDG'!2:2,0)),
INDEX( 'ETPT Format DDG'!$A:$ZZ,,MATCH("Fonction recodée",'ETPT Format DDG'!2:2,0)),{"JA/AttJ Parquet";"JA/AttJ Siège autres";"JA/AttJ Siège Assises";"JA/AttJ Siège CCD"}))</f>
        <v>#N/A</v>
      </c>
      <c r="J4" s="177"/>
      <c r="K4" s="177"/>
      <c r="P4" s="114">
        <f t="shared" si="0"/>
        <v>0</v>
      </c>
    </row>
    <row r="5" spans="1:16" x14ac:dyDescent="0.2">
      <c r="A5" s="117" t="s">
        <v>191</v>
      </c>
      <c r="B5" s="116" t="s">
        <v>53</v>
      </c>
      <c r="C5" s="116" t="s">
        <v>52</v>
      </c>
      <c r="D5" s="113" t="e" cm="1">
        <f t="array" ref="D5">SUM(SUMIFS(
INDEX( 'ETPT Format DDG'!$A:$ZZ,,MATCH("13.8. ACCUEIL DU JUSTICIABLE",'ETPT Format DDG'!2:2,0)),
INDEX( 'ETPT Format DDG'!$A:$ZZ,,MATCH("Fonction recodée",'ETPT Format DDG'!2:2,0)),{"CONT A VIF Siège";"CONT A JP Siège"}))</f>
        <v>#N/A</v>
      </c>
      <c r="E5" s="113" t="e" cm="1">
        <f t="array" ref="E5">SUM(SUMIFS(
INDEX( 'ETPT Format DDG'!$A:$ZZ,,MATCH("13.8. ACCUEIL DU JUSTICIABLE",'ETPT Format DDG'!2:2,0)),
INDEX( 'ETPT Format DDG'!$A:$ZZ,,MATCH("Fonction recodée",'ETPT Format DDG'!2:2,0)),{"CONT A VIF Parquet";"CONT A JP Parquet"}))</f>
        <v>#N/A</v>
      </c>
      <c r="F5" s="112" t="e">
        <f>SUM(SUMIFS(
INDEX( 'ETPT Format DDG'!$A:$ZZ,,MATCH("13.8. ACCUEIL DU JUSTICIABLE",'ETPT Format DDG'!2:2,0)),
INDEX( 'ETPT Format DDG'!$A:$ZZ,,MATCH("Fonction recodée",'ETPT Format DDG'!2:2,0)),"JA/AttJ Siège autres"))</f>
        <v>#N/A</v>
      </c>
      <c r="G5" s="160" t="e">
        <f>SUM(SUMIFS(
INDEX( 'ETPT Format DDG'!$A:$ZZ,,MATCH("13.8. ACCUEIL DU JUSTICIABLE",'ETPT Format DDG'!2:2,0)),
INDEX( 'ETPT Format DDG'!$A:$ZZ,,MATCH("Fonction recodée",'ETPT Format DDG'!2:2,0)),"JA/AttJ Siège Assises"))</f>
        <v>#N/A</v>
      </c>
      <c r="H5" s="160" t="e">
        <f>SUM(SUMIFS(
INDEX( 'ETPT Format DDG'!$A:$ZZ,,MATCH("13.8. ACCUEIL DU JUSTICIABLE",'ETPT Format DDG'!2:2,0)),
INDEX( 'ETPT Format DDG'!$A:$ZZ,,MATCH("Fonction recodée",'ETPT Format DDG'!2:2,0)),"JA/AttJ Siège CCD"))</f>
        <v>#N/A</v>
      </c>
      <c r="I5" s="112" t="e">
        <f>SUM(SUMIFS(
INDEX( 'ETPT Format DDG'!$A:$ZZ,,MATCH("13.8. ACCUEIL DU JUSTICIABLE",'ETPT Format DDG'!2:2,0)),
INDEX( 'ETPT Format DDG'!$A:$ZZ,,MATCH("Fonction recodée",'ETPT Format DDG'!2:2,0)),"JA/AttJ Parquet"))</f>
        <v>#N/A</v>
      </c>
      <c r="J5" s="177"/>
      <c r="K5" s="177"/>
      <c r="P5" s="114">
        <f t="shared" si="0"/>
        <v>0</v>
      </c>
    </row>
    <row r="6" spans="1:16" x14ac:dyDescent="0.2">
      <c r="A6" s="117" t="s">
        <v>192</v>
      </c>
      <c r="B6" s="116" t="s">
        <v>51</v>
      </c>
      <c r="C6" s="116" t="s">
        <v>50</v>
      </c>
      <c r="D6" s="113" t="e" cm="1">
        <f t="array" ref="D6">SUM(SUMIFS(
INDEX( 'ETPT Format DDG'!$A:$ZZ,,MATCH("13.11. ACTIVITÉS EXTÉRIEURES ET PARTENARIATS",'ETPT Format DDG'!2:2,0)),
INDEX( 'ETPT Format DDG'!$A:$ZZ,,MATCH("Fonction recodée",'ETPT Format DDG'!2:2,0)),{"CONT A VIF Siège";"CONT A JP Siège"}))+
SUM(SUMIFS(
INDEX( 'ETPT Format DDG'!$A:$ZZ,,MATCH("13.13. COMMUNICATION",'ETPT Format DDG'!2:2,0)),
INDEX( 'ETPT Format DDG'!$A:$ZZ,,MATCH("Fonction recodée",'ETPT Format DDG'!2:2,0)),{"CONT A VIF Siège";"CONT A JP Siège"}))+
SUM(SUMIFS(
INDEX( 'ETPT Format DDG'!$A:$ZZ,,MATCH("13.12. ÉQUIPEMENT",'ETPT Format DDG'!2:2,0)),
INDEX( 'ETPT Format DDG'!$A:$ZZ,,MATCH("Fonction recodée",'ETPT Format DDG'!2:2,0)),{"CONT A VIF Siège";"CONT A JP Siège"}))+
SUM(SUMIFS(
INDEX( 'ETPT Format DDG'!$A:$ZZ,,MATCH("13.5. EXPERTISES (SUIVI ET LISTES)",'ETPT Format DDG'!2:2,0)),
INDEX( 'ETPT Format DDG'!$A:$ZZ,,MATCH("Fonction recodée",'ETPT Format DDG'!2:2,0)),{"CONT A VIF Siège";"CONT A JP Siège"}))+
SUM(SUMIFS(
INDEX( 'ETPT Format DDG'!$A:$ZZ,,MATCH("13.2. FORMATIONS SUIVIES",'ETPT Format DDG'!2:2,0)),
INDEX( 'ETPT Format DDG'!$A:$ZZ,,MATCH("Fonction recodée",'ETPT Format DDG'!2:2,0)),{"CONT A VIF Siège";"CONT A JP Siège"}))+
SUM(SUMIFS(
INDEX( 'ETPT Format DDG'!$A:$ZZ,,MATCH("13.6. MÉDIATION / CONCILIATION (SUIVI ET LISTES)",'ETPT Format DDG'!2:2,0)),
INDEX( 'ETPT Format DDG'!$A:$ZZ,,MATCH("Fonction recodée",'ETPT Format DDG'!2:2,0)),{"CONT A VIF Siège";"CONT A JP Siège"}))+
SUM(SUMIFS(
INDEX( 'ETPT Format DDG'!$A:$ZZ,,MATCH("13.14. POLITIQUE ASSOCIATIVE ET AIDE AUX VICTIMES",'ETPT Format DDG'!2:2,0)),
INDEX( 'ETPT Format DDG'!$A:$ZZ,,MATCH("Fonction recodée",'ETPT Format DDG'!2:2,0)),{"CONT A VIF Siège";"CONT A JP Siège"}))+
SUM(SUMIFS(
INDEX( 'ETPT Format DDG'!$A:$ZZ,,MATCH("13.1. SOUTIEN (AUTRES)",'ETPT Format DDG'!2:2,0)),
INDEX( 'ETPT Format DDG'!$A:$ZZ,,MATCH("Fonction recodée",'ETPT Format DDG'!2:2,0)),{"CONT A VIF Siège";"CONT A JP Siège"}))+
SUM(SUMIFS(
INDEX( 'ETPT Format DDG'!$A:$ZZ,,MATCH("13.15. AUTRES ACTIVITÉS NON JURIDICTIONNELLES",'ETPT Format DDG'!2:2,0)),
INDEX( 'ETPT Format DDG'!$A:$ZZ,,MATCH("Fonction recodée",'ETPT Format DDG'!2:2,0)),{"CONT A VIF Siège";"CONT A JP Siège"}))</f>
        <v>#N/A</v>
      </c>
      <c r="E6" s="113" t="e" cm="1">
        <f t="array" ref="E6">SUM(SUMIFS(
INDEX( 'ETPT Format DDG'!$A:$ZZ,,MATCH("13.11. ACTIVITÉS EXTÉRIEURES ET PARTENARIATS",'ETPT Format DDG'!2:2,0)),
INDEX( 'ETPT Format DDG'!$A:$ZZ,,MATCH("Fonction recodée",'ETPT Format DDG'!2:2,0)),{"CONT A VIF Parquet";"CONT A JP Parquet"}))+
SUM(SUMIFS(
INDEX( 'ETPT Format DDG'!$A:$ZZ,,MATCH("13.13. COMMUNICATION",'ETPT Format DDG'!2:2,0)),
INDEX( 'ETPT Format DDG'!$A:$ZZ,,MATCH("Fonction recodée",'ETPT Format DDG'!2:2,0)),{"CONT A VIF Parquet";"CONT A JP Parquet"}))+
SUM(SUMIFS(
INDEX( 'ETPT Format DDG'!$A:$ZZ,,MATCH("13.12. ÉQUIPEMENT",'ETPT Format DDG'!2:2,0)),
INDEX( 'ETPT Format DDG'!$A:$ZZ,,MATCH("Fonction recodée",'ETPT Format DDG'!2:2,0)),{"CONT A VIF Parquet";"CONT A JP Parquet"}))+
SUM(SUMIFS(
INDEX( 'ETPT Format DDG'!$A:$ZZ,,MATCH("13.5. EXPERTISES (SUIVI ET LISTES)",'ETPT Format DDG'!2:2,0)),
INDEX( 'ETPT Format DDG'!$A:$ZZ,,MATCH("Fonction recodée",'ETPT Format DDG'!2:2,0)),{"CONT A VIF Parquet";"CONT A JP Parquet"}))+
SUM(SUMIFS(
INDEX( 'ETPT Format DDG'!$A:$ZZ,,MATCH("13.2. FORMATIONS SUIVIES",'ETPT Format DDG'!2:2,0)),
INDEX( 'ETPT Format DDG'!$A:$ZZ,,MATCH("Fonction recodée",'ETPT Format DDG'!2:2,0)),{"CONT A VIF Parquet";"CONT A JP Parquet"}))+
SUM(SUMIFS(
INDEX( 'ETPT Format DDG'!$A:$ZZ,,MATCH("13.6. MÉDIATION / CONCILIATION (SUIVI ET LISTES)",'ETPT Format DDG'!2:2,0)),
INDEX( 'ETPT Format DDG'!$A:$ZZ,,MATCH("Fonction recodée",'ETPT Format DDG'!2:2,0)),{"CONT A VIF Parquet";"CONT A JP Parquet"}))+
SUM(SUMIFS(
INDEX( 'ETPT Format DDG'!$A:$ZZ,,MATCH("13.14. POLITIQUE ASSOCIATIVE ET AIDE AUX VICTIMES",'ETPT Format DDG'!2:2,0)),
INDEX( 'ETPT Format DDG'!$A:$ZZ,,MATCH("Fonction recodée",'ETPT Format DDG'!2:2,0)),{"CONT A VIF Parquet";"CONT A JP Parquet"}))+
SUM(SUMIFS(
INDEX( 'ETPT Format DDG'!$A:$ZZ,,MATCH("13.1. SOUTIEN (AUTRES)",'ETPT Format DDG'!2:2,0)),
INDEX( 'ETPT Format DDG'!$A:$ZZ,,MATCH("Fonction recodée",'ETPT Format DDG'!2:2,0)),{"CONT A VIF Parquet";"CONT A JP Parquet"}))+
SUM(SUMIFS(
INDEX( 'ETPT Format DDG'!$A:$ZZ,,MATCH("13.15. AUTRES ACTIVITÉS NON JURIDICTIONNELLES",'ETPT Format DDG'!2:2,0)),
INDEX( 'ETPT Format DDG'!$A:$ZZ,,MATCH("Fonction recodée",'ETPT Format DDG'!2:2,0)),{"CONT A VIF Parquet";"CONT A JP Parquet"}))</f>
        <v>#N/A</v>
      </c>
      <c r="F6" s="112" t="e">
        <f>SUM(SUMIFS(
INDEX( 'ETPT Format DDG'!$A:$ZZ,,MATCH("13.11. ACTIVITÉS EXTÉRIEURES ET PARTENARIATS",'ETPT Format DDG'!2:2,0)),
INDEX( 'ETPT Format DDG'!$A:$ZZ,,MATCH("Fonction recodée",'ETPT Format DDG'!2:2,0)),"JA/AttJ Siège autres"))+
SUM(SUMIFS(
INDEX( 'ETPT Format DDG'!$A:$ZZ,,MATCH("13.13. COMMUNICATION",'ETPT Format DDG'!2:2,0)),
INDEX( 'ETPT Format DDG'!$A:$ZZ,,MATCH("Fonction recodée",'ETPT Format DDG'!2:2,0)),"JA/AttJ Siège autres"))+
SUM(SUMIFS(
INDEX( 'ETPT Format DDG'!$A:$ZZ,,MATCH("13.12. ÉQUIPEMENT",'ETPT Format DDG'!2:2,0)),
INDEX( 'ETPT Format DDG'!$A:$ZZ,,MATCH("Fonction recodée",'ETPT Format DDG'!2:2,0)),"JA/AttJ Siège autres"))+
SUM(SUMIFS(
INDEX( 'ETPT Format DDG'!$A:$ZZ,,MATCH("13.5. EXPERTISES (SUIVI ET LISTES)",'ETPT Format DDG'!2:2,0)),
INDEX( 'ETPT Format DDG'!$A:$ZZ,,MATCH("Fonction recodée",'ETPT Format DDG'!2:2,0)),"JA/AttJ Siège autres"))+
SUM(SUMIFS(
INDEX( 'ETPT Format DDG'!$A:$ZZ,,MATCH("13.2. FORMATIONS SUIVIES",'ETPT Format DDG'!2:2,0)),
INDEX( 'ETPT Format DDG'!$A:$ZZ,,MATCH("Fonction recodée",'ETPT Format DDG'!2:2,0)),"JA/AttJ Siège autres"))+
SUM(SUMIFS(
INDEX( 'ETPT Format DDG'!$A:$ZZ,,MATCH("13.6. MÉDIATION / CONCILIATION (SUIVI ET LISTES)",'ETPT Format DDG'!2:2,0)),
INDEX( 'ETPT Format DDG'!$A:$ZZ,,MATCH("Fonction recodée",'ETPT Format DDG'!2:2,0)),"JA/AttJ Siège autres"))+
SUM(SUMIFS(
INDEX( 'ETPT Format DDG'!$A:$ZZ,,MATCH("13.14. POLITIQUE ASSOCIATIVE ET AIDE AUX VICTIMES",'ETPT Format DDG'!2:2,0)),
INDEX( 'ETPT Format DDG'!$A:$ZZ,,MATCH("Fonction recodée",'ETPT Format DDG'!2:2,0)),"JA/AttJ Siège autres"))+
SUM(SUMIFS(
INDEX( 'ETPT Format DDG'!$A:$ZZ,,MATCH("13.1. SOUTIEN (AUTRES)",'ETPT Format DDG'!2:2,0)),
INDEX( 'ETPT Format DDG'!$A:$ZZ,,MATCH("Fonction recodée",'ETPT Format DDG'!2:2,0)),"JA/AttJ Siège autres"))+
SUM(SUMIFS(
INDEX( 'ETPT Format DDG'!$A:$ZZ,,MATCH("13.15. AUTRES ACTIVITÉS NON JURIDICTIONNELLES",'ETPT Format DDG'!2:2,0)),
INDEX( 'ETPT Format DDG'!$A:$ZZ,,MATCH("Fonction recodée",'ETPT Format DDG'!2:2,0)),"JA/AttJ Siège autres"))</f>
        <v>#N/A</v>
      </c>
      <c r="G6" s="160" t="e">
        <f>SUM(SUMIFS(
INDEX( 'ETPT Format DDG'!$A:$ZZ,,MATCH("13.11. ACTIVITÉS EXTÉRIEURES ET PARTENARIATS",'ETPT Format DDG'!2:2,0)),
INDEX( 'ETPT Format DDG'!$A:$ZZ,,MATCH("Fonction recodée",'ETPT Format DDG'!2:2,0)),"JA/AttJ Siège Assises"))+
SUM(SUMIFS(
INDEX( 'ETPT Format DDG'!$A:$ZZ,,MATCH("13.13. COMMUNICATION",'ETPT Format DDG'!2:2,0)),
INDEX( 'ETPT Format DDG'!$A:$ZZ,,MATCH("Fonction recodée",'ETPT Format DDG'!2:2,0)),"JA/AttJ Siège Assises"))+
SUM(SUMIFS(
INDEX( 'ETPT Format DDG'!$A:$ZZ,,MATCH("13.12. ÉQUIPEMENT",'ETPT Format DDG'!2:2,0)),
INDEX( 'ETPT Format DDG'!$A:$ZZ,,MATCH("Fonction recodée",'ETPT Format DDG'!2:2,0)),"JA/AttJ Siège Assises"))+
SUM(SUMIFS(
INDEX( 'ETPT Format DDG'!$A:$ZZ,,MATCH("13.5. EXPERTISES (SUIVI ET LISTES)",'ETPT Format DDG'!2:2,0)),
INDEX( 'ETPT Format DDG'!$A:$ZZ,,MATCH("Fonction recodée",'ETPT Format DDG'!2:2,0)),"JA/AttJ Siège Assises"))+
SUM(SUMIFS(
INDEX( 'ETPT Format DDG'!$A:$ZZ,,MATCH("13.2. FORMATIONS SUIVIES",'ETPT Format DDG'!2:2,0)),
INDEX( 'ETPT Format DDG'!$A:$ZZ,,MATCH("Fonction recodée",'ETPT Format DDG'!2:2,0)),"JA/AttJ Siège Assises"))+
SUM(SUMIFS(
INDEX( 'ETPT Format DDG'!$A:$ZZ,,MATCH("13.6. MÉDIATION / CONCILIATION (SUIVI ET LISTES)",'ETPT Format DDG'!2:2,0)),
INDEX( 'ETPT Format DDG'!$A:$ZZ,,MATCH("Fonction recodée",'ETPT Format DDG'!2:2,0)),"JA/AttJ Siège Assises"))+
SUM(SUMIFS(
INDEX( 'ETPT Format DDG'!$A:$ZZ,,MATCH("13.14. POLITIQUE ASSOCIATIVE ET AIDE AUX VICTIMES",'ETPT Format DDG'!2:2,0)),
INDEX( 'ETPT Format DDG'!$A:$ZZ,,MATCH("Fonction recodée",'ETPT Format DDG'!2:2,0)),"JA/AttJ Siège Assises"))+
SUM(SUMIFS(
INDEX( 'ETPT Format DDG'!$A:$ZZ,,MATCH("13.1. SOUTIEN (AUTRES)",'ETPT Format DDG'!2:2,0)),
INDEX( 'ETPT Format DDG'!$A:$ZZ,,MATCH("Fonction recodée",'ETPT Format DDG'!2:2,0)),"JA/AttJ Siège Assises"))+
SUM(SUMIFS(
INDEX( 'ETPT Format DDG'!$A:$ZZ,,MATCH("13.15. AUTRES ACTIVITÉS NON JURIDICTIONNELLES",'ETPT Format DDG'!2:2,0)),
INDEX( 'ETPT Format DDG'!$A:$ZZ,,MATCH("Fonction recodée",'ETPT Format DDG'!2:2,0)),"JA/AttJ Siège Assises"))</f>
        <v>#N/A</v>
      </c>
      <c r="H6" s="160" t="e">
        <f>SUM(SUMIFS(
INDEX( 'ETPT Format DDG'!$A:$ZZ,,MATCH("13.11. ACTIVITÉS EXTÉRIEURES ET PARTENARIATS",'ETPT Format DDG'!2:2,0)),
INDEX( 'ETPT Format DDG'!$A:$ZZ,,MATCH("Fonction recodée",'ETPT Format DDG'!2:2,0)),"JA/AttJ Siège CCD"))+
SUM(SUMIFS(
INDEX( 'ETPT Format DDG'!$A:$ZZ,,MATCH("13.13. COMMUNICATION",'ETPT Format DDG'!2:2,0)),
INDEX( 'ETPT Format DDG'!$A:$ZZ,,MATCH("Fonction recodée",'ETPT Format DDG'!2:2,0)),"JA/AttJ Siège CCD"))+
SUM(SUMIFS(
INDEX( 'ETPT Format DDG'!$A:$ZZ,,MATCH("13.12. ÉQUIPEMENT",'ETPT Format DDG'!2:2,0)),
INDEX( 'ETPT Format DDG'!$A:$ZZ,,MATCH("Fonction recodée",'ETPT Format DDG'!2:2,0)),"JA/AttJ Siège CCD"))+
SUM(SUMIFS(
INDEX( 'ETPT Format DDG'!$A:$ZZ,,MATCH("13.5. EXPERTISES (SUIVI ET LISTES)",'ETPT Format DDG'!2:2,0)),
INDEX( 'ETPT Format DDG'!$A:$ZZ,,MATCH("Fonction recodée",'ETPT Format DDG'!2:2,0)),"JA/AttJ Siège CCD"))+
SUM(SUMIFS(
INDEX( 'ETPT Format DDG'!$A:$ZZ,,MATCH("13.2. FORMATIONS SUIVIES",'ETPT Format DDG'!2:2,0)),
INDEX( 'ETPT Format DDG'!$A:$ZZ,,MATCH("Fonction recodée",'ETPT Format DDG'!2:2,0)),"JA/AttJ Siège CCD"))+
SUM(SUMIFS(
INDEX( 'ETPT Format DDG'!$A:$ZZ,,MATCH("13.6. MÉDIATION / CONCILIATION (SUIVI ET LISTES)",'ETPT Format DDG'!2:2,0)),
INDEX( 'ETPT Format DDG'!$A:$ZZ,,MATCH("Fonction recodée",'ETPT Format DDG'!2:2,0)),"JA/AttJ Siège CCD"))+
SUM(SUMIFS(
INDEX( 'ETPT Format DDG'!$A:$ZZ,,MATCH("13.14. POLITIQUE ASSOCIATIVE ET AIDE AUX VICTIMES",'ETPT Format DDG'!2:2,0)),
INDEX( 'ETPT Format DDG'!$A:$ZZ,,MATCH("Fonction recodée",'ETPT Format DDG'!2:2,0)),"JA/AttJ Siège CCD"))+
SUM(SUMIFS(
INDEX( 'ETPT Format DDG'!$A:$ZZ,,MATCH("13.1. SOUTIEN (AUTRES)",'ETPT Format DDG'!2:2,0)),
INDEX( 'ETPT Format DDG'!$A:$ZZ,,MATCH("Fonction recodée",'ETPT Format DDG'!2:2,0)),"JA/AttJ Siège CCD"))+
SUM(SUMIFS(
INDEX( 'ETPT Format DDG'!$A:$ZZ,,MATCH("13.15. AUTRES ACTIVITÉS NON JURIDICTIONNELLES",'ETPT Format DDG'!2:2,0)),
INDEX( 'ETPT Format DDG'!$A:$ZZ,,MATCH("Fonction recodée",'ETPT Format DDG'!2:2,0)),"JA/AttJ Siège CCD"))</f>
        <v>#N/A</v>
      </c>
      <c r="I6" s="112" t="e">
        <f>SUM(SUMIFS(
INDEX( 'ETPT Format DDG'!$A:$ZZ,,MATCH("13.11. ACTIVITÉS EXTÉRIEURES ET PARTENARIATS",'ETPT Format DDG'!2:2,0)),
INDEX( 'ETPT Format DDG'!$A:$ZZ,,MATCH("Fonction recodée",'ETPT Format DDG'!2:2,0)),"JA/AttJ Parquet"))+
SUM(SUMIFS(
INDEX( 'ETPT Format DDG'!$A:$ZZ,,MATCH("13.13. COMMUNICATION",'ETPT Format DDG'!2:2,0)),
INDEX( 'ETPT Format DDG'!$A:$ZZ,,MATCH("Fonction recodée",'ETPT Format DDG'!2:2,0)),"JA/AttJ Parquet"))+
SUM(SUMIFS(
INDEX( 'ETPT Format DDG'!$A:$ZZ,,MATCH("13.12. ÉQUIPEMENT",'ETPT Format DDG'!2:2,0)),
INDEX( 'ETPT Format DDG'!$A:$ZZ,,MATCH("Fonction recodée",'ETPT Format DDG'!2:2,0)),"JA/AttJ Parquet"))+
SUM(SUMIFS(
INDEX( 'ETPT Format DDG'!$A:$ZZ,,MATCH("13.5. EXPERTISES (SUIVI ET LISTES)",'ETPT Format DDG'!2:2,0)),
INDEX( 'ETPT Format DDG'!$A:$ZZ,,MATCH("Fonction recodée",'ETPT Format DDG'!2:2,0)),"JA/AttJ Parquet"))+
SUM(SUMIFS(
INDEX( 'ETPT Format DDG'!$A:$ZZ,,MATCH("13.2. FORMATIONS SUIVIES",'ETPT Format DDG'!2:2,0)),
INDEX( 'ETPT Format DDG'!$A:$ZZ,,MATCH("Fonction recodée",'ETPT Format DDG'!2:2,0)),"JA/AttJ Parquet"))+
SUM(SUMIFS(
INDEX( 'ETPT Format DDG'!$A:$ZZ,,MATCH("13.6. MÉDIATION / CONCILIATION (SUIVI ET LISTES)",'ETPT Format DDG'!2:2,0)),
INDEX( 'ETPT Format DDG'!$A:$ZZ,,MATCH("Fonction recodée",'ETPT Format DDG'!2:2,0)),"JA/AttJ Parquet"))+
SUM(SUMIFS(
INDEX( 'ETPT Format DDG'!$A:$ZZ,,MATCH("13.14. POLITIQUE ASSOCIATIVE ET AIDE AUX VICTIMES",'ETPT Format DDG'!2:2,0)),
INDEX( 'ETPT Format DDG'!$A:$ZZ,,MATCH("Fonction recodée",'ETPT Format DDG'!2:2,0)),"JA/AttJ Parquet"))+
SUM(SUMIFS(
INDEX( 'ETPT Format DDG'!$A:$ZZ,,MATCH("13.1. SOUTIEN (AUTRES)",'ETPT Format DDG'!2:2,0)),
INDEX( 'ETPT Format DDG'!$A:$ZZ,,MATCH("Fonction recodée",'ETPT Format DDG'!2:2,0)),"JA/AttJ Parquet"))+
SUM(SUMIFS(
INDEX( 'ETPT Format DDG'!$A:$ZZ,,MATCH("13.15. AUTRES ACTIVITÉS NON JURIDICTIONNELLES",'ETPT Format DDG'!2:2,0)),
INDEX( 'ETPT Format DDG'!$A:$ZZ,,MATCH("Fonction recodée",'ETPT Format DDG'!2:2,0)),"JA/AttJ Parquet"))</f>
        <v>#N/A</v>
      </c>
      <c r="J6" s="177"/>
      <c r="K6" s="177"/>
      <c r="P6" s="114">
        <f t="shared" si="0"/>
        <v>0</v>
      </c>
    </row>
    <row r="7" spans="1:16" x14ac:dyDescent="0.2">
      <c r="A7" s="117" t="s">
        <v>193</v>
      </c>
      <c r="B7" s="116" t="s">
        <v>49</v>
      </c>
      <c r="C7" s="116" t="s">
        <v>48</v>
      </c>
      <c r="D7" s="113" t="e" cm="1">
        <f t="array" ref="D7">SUM(SUMIFS(
INDEX( 'ETPT Format DDG'!$A:$ZZ,,MATCH("13.3. FORMATIONS DISPENSÉES",'ETPT Format DDG'!2:2,0)),
INDEX( 'ETPT Format DDG'!$A:$ZZ,,MATCH("Fonction recodée",'ETPT Format DDG'!2:2,0)),{"CONT A VIF Siège";"CONT A JP Siège"}))</f>
        <v>#N/A</v>
      </c>
      <c r="E7" s="113" t="e" cm="1">
        <f t="array" ref="E7">SUM(SUMIFS(
INDEX( 'ETPT Format DDG'!$A:$ZZ,,MATCH("13.3. FORMATIONS DISPENSÉES",'ETPT Format DDG'!2:2,0)),
INDEX( 'ETPT Format DDG'!$A:$ZZ,,MATCH("Fonction recodée",'ETPT Format DDG'!2:2,0)),{"CONT A VIF Parquet";"CONT A JP Parquet"}))</f>
        <v>#N/A</v>
      </c>
      <c r="F7" s="112" t="e">
        <f>SUM(SUMIFS(
INDEX( 'ETPT Format DDG'!$A:$ZZ,,MATCH("13.3. FORMATIONS DISPENSÉES",'ETPT Format DDG'!2:2,0)),
INDEX( 'ETPT Format DDG'!$A:$ZZ,,MATCH("Fonction recodée",'ETPT Format DDG'!2:2,0)),"JA/AttJ Siège autres"))</f>
        <v>#N/A</v>
      </c>
      <c r="G7" s="160" t="e">
        <f>SUM(SUMIFS(
INDEX( 'ETPT Format DDG'!$A:$ZZ,,MATCH("13.3. FORMATIONS DISPENSÉES",'ETPT Format DDG'!2:2,0)),
INDEX( 'ETPT Format DDG'!$A:$ZZ,,MATCH("Fonction recodée",'ETPT Format DDG'!2:2,0)),"JA/AttJ Siège Assises"))</f>
        <v>#N/A</v>
      </c>
      <c r="H7" s="160" t="e">
        <f>SUM(SUMIFS(
INDEX( 'ETPT Format DDG'!$A:$ZZ,,MATCH("13.3. FORMATIONS DISPENSÉES",'ETPT Format DDG'!2:2,0)),
INDEX( 'ETPT Format DDG'!$A:$ZZ,,MATCH("Fonction recodée",'ETPT Format DDG'!2:2,0)),"JA/AttJ Siège CCD"))</f>
        <v>#N/A</v>
      </c>
      <c r="I7" s="112" t="e">
        <f>SUM(SUMIFS(
INDEX( 'ETPT Format DDG'!$A:$ZZ,,MATCH("13.3. FORMATIONS DISPENSÉES",'ETPT Format DDG'!2:2,0)),
INDEX( 'ETPT Format DDG'!$A:$ZZ,,MATCH("Fonction recodée",'ETPT Format DDG'!2:2,0)),"JA/AttJ Parquet"))</f>
        <v>#N/A</v>
      </c>
      <c r="J7" s="177"/>
      <c r="K7" s="177"/>
      <c r="P7" s="114">
        <f t="shared" si="0"/>
        <v>0</v>
      </c>
    </row>
    <row r="8" spans="1:16" x14ac:dyDescent="0.2">
      <c r="A8" s="117" t="s">
        <v>194</v>
      </c>
      <c r="B8" s="116" t="s">
        <v>47</v>
      </c>
      <c r="C8" s="116" t="s">
        <v>46</v>
      </c>
      <c r="D8" s="113" t="e" cm="1">
        <f t="array" ref="D8">SUM(SUMIFS(
INDEX( 'ETPT Format DDG'!$A:$ZZ,,MATCH("13.7. ACCÈS AU DROIT ET À LA JUSTICE",'ETPT Format DDG'!2:2,0)),
INDEX( 'ETPT Format DDG'!$A:$ZZ,,MATCH("Fonction recodée",'ETPT Format DDG'!2:2,0)),{"CONT A VIF Siège";"CONT A JP Siège"}))</f>
        <v>#N/A</v>
      </c>
      <c r="E8" s="113" t="e" cm="1">
        <f t="array" ref="E8">SUM(SUMIFS(
INDEX( 'ETPT Format DDG'!$A:$ZZ,,MATCH("13.7. ACCÈS AU DROIT ET À LA JUSTICE",'ETPT Format DDG'!2:2,0)),
INDEX( 'ETPT Format DDG'!$A:$ZZ,,MATCH("Fonction recodée",'ETPT Format DDG'!2:2,0)),{"CONT A VIF Parquet";"CONT A JP Parquet"}))</f>
        <v>#N/A</v>
      </c>
      <c r="F8" s="112" t="e">
        <f>SUM(SUMIFS(
INDEX( 'ETPT Format DDG'!$A:$ZZ,,MATCH("13.7. ACCÈS AU DROIT ET À LA JUSTICE",'ETPT Format DDG'!2:2,0)),
INDEX( 'ETPT Format DDG'!$A:$ZZ,,MATCH("Fonction recodée",'ETPT Format DDG'!2:2,0)),"JA/AttJ Siège autres"))</f>
        <v>#N/A</v>
      </c>
      <c r="G8" s="160" t="e">
        <f>SUM(SUMIFS(
INDEX( 'ETPT Format DDG'!$A:$ZZ,,MATCH("13.7. ACCÈS AU DROIT ET À LA JUSTICE",'ETPT Format DDG'!2:2,0)),
INDEX( 'ETPT Format DDG'!$A:$ZZ,,MATCH("Fonction recodée",'ETPT Format DDG'!2:2,0)),"JA/AttJ Siège Assises"))</f>
        <v>#N/A</v>
      </c>
      <c r="H8" s="160" t="e">
        <f>SUM(SUMIFS(
INDEX( 'ETPT Format DDG'!$A:$ZZ,,MATCH("13.7. ACCÈS AU DROIT ET À LA JUSTICE",'ETPT Format DDG'!2:2,0)),
INDEX( 'ETPT Format DDG'!$A:$ZZ,,MATCH("Fonction recodée",'ETPT Format DDG'!2:2,0)),"JA/AttJ Siège CCD"))</f>
        <v>#N/A</v>
      </c>
      <c r="I8" s="112" t="e">
        <f>SUM(SUMIFS(
INDEX( 'ETPT Format DDG'!$A:$ZZ,,MATCH("13.7. ACCÈS AU DROIT ET À LA JUSTICE",'ETPT Format DDG'!2:2,0)),
INDEX( 'ETPT Format DDG'!$A:$ZZ,,MATCH("Fonction recodée",'ETPT Format DDG'!2:2,0)),"JA/AttJ Parquet"))</f>
        <v>#N/A</v>
      </c>
      <c r="J8" s="177"/>
      <c r="K8" s="177"/>
      <c r="P8" s="114">
        <f t="shared" si="0"/>
        <v>0</v>
      </c>
    </row>
    <row r="9" spans="1:16" x14ac:dyDescent="0.2">
      <c r="A9" s="117" t="s">
        <v>195</v>
      </c>
      <c r="B9" s="116" t="s">
        <v>45</v>
      </c>
      <c r="C9" s="116" t="s">
        <v>44</v>
      </c>
      <c r="D9" s="113" t="e" cm="1">
        <f t="array" ref="D9">SUM(SUMIFS(
INDEX( 'ETPT Format DDG'!$A:$ZZ,,MATCH("14. TOTAL des INDISPONIBILITÉS relevant de l'action 99",'ETPT Format DDG'!2:2,0)),
INDEX( 'ETPT Format DDG'!$A:$ZZ,,MATCH("Fonction recodée",'ETPT Format DDG'!2:2,0)),{"CONT A VIF Siège";"CONT A JP Siège"}))-
SUM(SUMIFS(
INDEX( 'ETPT Format DDG'!$A:$ZZ,,MATCH("14.9. MISE À DISPOSITION",'ETPT Format DDG'!2:2,0)),
INDEX( 'ETPT Format DDG'!$A:$ZZ,,MATCH("Fonction recodée",'ETPT Format DDG'!2:2,0)),{"CONT A VIF Siège";"CONT A JP Siège"}))</f>
        <v>#N/A</v>
      </c>
      <c r="E9" s="113" t="e" cm="1">
        <f t="array" ref="E9">SUM(SUMIFS(
INDEX( 'ETPT Format DDG'!$A:$ZZ,,MATCH("14. TOTAL des INDISPONIBILITÉS relevant de l'action 99",'ETPT Format DDG'!2:2,0)),
INDEX( 'ETPT Format DDG'!$A:$ZZ,,MATCH("Fonction recodée",'ETPT Format DDG'!2:2,0)),{"CONT A VIF Parquet";"CONT A JP Parquet"}))-
SUM(SUMIFS(
INDEX( 'ETPT Format DDG'!$A:$ZZ,,MATCH("14.9. MISE À DISPOSITION",'ETPT Format DDG'!2:2,0)),
INDEX( 'ETPT Format DDG'!$A:$ZZ,,MATCH("Fonction recodée",'ETPT Format DDG'!2:2,0)),{"CONT A VIF Parquet";"CONT A JP Parquet"}))</f>
        <v>#N/A</v>
      </c>
      <c r="F9" s="112" t="e">
        <f>SUM(SUMIFS(
INDEX( 'ETPT Format DDG'!$A:$ZZ,,MATCH("14. TOTAL des INDISPONIBILITÉS relevant de l'action 99",'ETPT Format DDG'!2:2,0)),
INDEX( 'ETPT Format DDG'!$A:$ZZ,,MATCH("Fonction recodée",'ETPT Format DDG'!2:2,0)),"JA/AttJ Siège autres"))-
SUM(SUMIFS(
INDEX( 'ETPT Format DDG'!$A:$ZZ,,MATCH("14.9. MISE À DISPOSITION",'ETPT Format DDG'!2:2,0)),
INDEX( 'ETPT Format DDG'!$A:$ZZ,,MATCH("Fonction recodée",'ETPT Format DDG'!2:2,0)),"JA/AttJ Siège autres"))</f>
        <v>#N/A</v>
      </c>
      <c r="G9" s="160" t="e">
        <f>SUM(SUMIFS(
INDEX( 'ETPT Format DDG'!$A:$ZZ,,MATCH("14. TOTAL des INDISPONIBILITÉS relevant de l'action 99",'ETPT Format DDG'!2:2,0)),
INDEX( 'ETPT Format DDG'!$A:$ZZ,,MATCH("Fonction recodée",'ETPT Format DDG'!2:2,0)),"JA/AttJ Siège Assises"))-
SUM(SUMIFS(
INDEX( 'ETPT Format DDG'!$A:$ZZ,,MATCH("14.9. MISE À DISPOSITION",'ETPT Format DDG'!2:2,0)),
INDEX( 'ETPT Format DDG'!$A:$ZZ,,MATCH("Fonction recodée",'ETPT Format DDG'!2:2,0)),"JA/AttJ Siège Assises"))</f>
        <v>#N/A</v>
      </c>
      <c r="H9" s="160" t="e">
        <f>SUM(SUMIFS(
INDEX( 'ETPT Format DDG'!$A:$ZZ,,MATCH("14. TOTAL des INDISPONIBILITÉS relevant de l'action 99",'ETPT Format DDG'!2:2,0)),
INDEX( 'ETPT Format DDG'!$A:$ZZ,,MATCH("Fonction recodée",'ETPT Format DDG'!2:2,0)),"JA/AttJ Siège CCD"))-
SUM(SUMIFS(
INDEX( 'ETPT Format DDG'!$A:$ZZ,,MATCH("14.9. MISE À DISPOSITION",'ETPT Format DDG'!2:2,0)),
INDEX( 'ETPT Format DDG'!$A:$ZZ,,MATCH("Fonction recodée",'ETPT Format DDG'!2:2,0)),"JA/AttJ Siège CCD"))</f>
        <v>#N/A</v>
      </c>
      <c r="I9" s="112" t="e">
        <f>SUM(SUMIFS(
INDEX( 'ETPT Format DDG'!$A:$ZZ,,MATCH("14. TOTAL des INDISPONIBILITÉS relevant de l'action 99",'ETPT Format DDG'!2:2,0)),
INDEX( 'ETPT Format DDG'!$A:$ZZ,,MATCH("Fonction recodée",'ETPT Format DDG'!2:2,0)),"JA/AttJ Parquet"))-
SUM(SUMIFS(
INDEX( 'ETPT Format DDG'!$A:$ZZ,,MATCH("14.9. MISE À DISPOSITION",'ETPT Format DDG'!2:2,0)),
INDEX( 'ETPT Format DDG'!$A:$ZZ,,MATCH("Fonction recodée",'ETPT Format DDG'!2:2,0)),"JA/AttJ Parquet"))</f>
        <v>#N/A</v>
      </c>
      <c r="J9" s="177"/>
      <c r="K9" s="177"/>
      <c r="P9" s="114">
        <f t="shared" si="0"/>
        <v>0</v>
      </c>
    </row>
    <row r="10" spans="1:16" ht="17" customHeight="1" x14ac:dyDescent="0.2">
      <c r="A10" s="117" t="s">
        <v>196</v>
      </c>
      <c r="B10" s="116" t="s">
        <v>43</v>
      </c>
      <c r="C10" s="116" t="s">
        <v>42</v>
      </c>
      <c r="D10" s="113" t="e" cm="1">
        <f t="array" ref="D10">SUM(SUMIFS(
INDEX( 'ETPT Format DDG'!$A:$ZZ,,MATCH("14.9. MISE À DISPOSITION",'ETPT Format DDG'!2:2,0)),
INDEX( 'ETPT Format DDG'!$A:$ZZ,,MATCH("Fonction recodée",'ETPT Format DDG'!2:2,0)),{"CONT A VIF Siège";"CONT A JP Siège"}))</f>
        <v>#N/A</v>
      </c>
      <c r="E10" s="113" t="e" cm="1">
        <f t="array" ref="E10">SUM(SUMIFS(
INDEX( 'ETPT Format DDG'!$A:$ZZ,,MATCH("14.9. MISE À DISPOSITION",'ETPT Format DDG'!2:2,0)),
INDEX( 'ETPT Format DDG'!$A:$ZZ,,MATCH("Fonction recodée",'ETPT Format DDG'!2:2,0)),{"CONT A VIF Parquet";"CONT A JP Parquet"}))</f>
        <v>#N/A</v>
      </c>
      <c r="F10" s="112" t="e">
        <f>SUM(SUMIFS(
INDEX( 'ETPT Format DDG'!$A:$ZZ,,MATCH("14.9. MISE À DISPOSITION",'ETPT Format DDG'!2:2,0)),
INDEX( 'ETPT Format DDG'!$A:$ZZ,,MATCH("Fonction recodée",'ETPT Format DDG'!2:2,0)),"JA/AttJ Siège autres"))</f>
        <v>#N/A</v>
      </c>
      <c r="G10" s="160" t="e">
        <f>SUM(SUMIFS(
INDEX( 'ETPT Format DDG'!$A:$ZZ,,MATCH("14.9. MISE À DISPOSITION",'ETPT Format DDG'!2:2,0)),
INDEX( 'ETPT Format DDG'!$A:$ZZ,,MATCH("Fonction recodée",'ETPT Format DDG'!2:2,0)),"JA/AttJ Siège Assises"))</f>
        <v>#N/A</v>
      </c>
      <c r="H10" s="160" t="e">
        <f>SUM(SUMIFS(
INDEX( 'ETPT Format DDG'!$A:$ZZ,,MATCH("14.9. MISE À DISPOSITION",'ETPT Format DDG'!2:2,0)),
INDEX( 'ETPT Format DDG'!$A:$ZZ,,MATCH("Fonction recodée",'ETPT Format DDG'!2:2,0)),"JA/AttJ Siège CCD"))</f>
        <v>#N/A</v>
      </c>
      <c r="I10" s="112" t="e">
        <f>SUM(SUMIFS(
INDEX( 'ETPT Format DDG'!$A:$ZZ,,MATCH("14.9. MISE À DISPOSITION",'ETPT Format DDG'!2:2,0)),
INDEX( 'ETPT Format DDG'!$A:$ZZ,,MATCH("Fonction recodée",'ETPT Format DDG'!2:2,0)),"JA/AttJ Parquet"))</f>
        <v>#N/A</v>
      </c>
      <c r="J10" s="177"/>
      <c r="K10" s="177"/>
      <c r="P10" s="114">
        <f t="shared" si="0"/>
        <v>0</v>
      </c>
    </row>
    <row r="11" spans="1:16" x14ac:dyDescent="0.2">
      <c r="C11" s="115" t="s">
        <v>37</v>
      </c>
      <c r="D11" s="114">
        <f>_xlfn.AGGREGATE(9,6,D3:D10)</f>
        <v>0</v>
      </c>
      <c r="E11" s="114">
        <f t="shared" ref="E11:O11" si="1">_xlfn.AGGREGATE(9,6,E3:E10)</f>
        <v>0</v>
      </c>
      <c r="F11" s="114">
        <f t="shared" si="1"/>
        <v>0</v>
      </c>
      <c r="G11" s="114">
        <f t="shared" si="1"/>
        <v>0</v>
      </c>
      <c r="H11" s="114">
        <f t="shared" si="1"/>
        <v>0</v>
      </c>
      <c r="I11" s="114">
        <f t="shared" si="1"/>
        <v>0</v>
      </c>
      <c r="J11" s="114">
        <f t="shared" si="1"/>
        <v>0</v>
      </c>
      <c r="K11" s="114">
        <f t="shared" si="1"/>
        <v>0</v>
      </c>
      <c r="L11" s="114">
        <f t="shared" si="1"/>
        <v>0</v>
      </c>
      <c r="M11" s="114">
        <f t="shared" si="1"/>
        <v>0</v>
      </c>
      <c r="N11" s="114">
        <f t="shared" si="1"/>
        <v>0</v>
      </c>
      <c r="O11" s="114">
        <f t="shared" si="1"/>
        <v>0</v>
      </c>
      <c r="P11" s="114">
        <f>_xlfn.AGGREGATE(9,6,P3:P10)</f>
        <v>0</v>
      </c>
    </row>
  </sheetData>
  <phoneticPr fontId="47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5FE4-5D9A-904C-8E7D-D70A5B5F8254}">
  <sheetPr>
    <tabColor rgb="FF0070C0"/>
  </sheetPr>
  <dimension ref="A1:P11"/>
  <sheetViews>
    <sheetView zoomScaleNormal="100" workbookViewId="0">
      <selection activeCell="E4" sqref="E4"/>
    </sheetView>
  </sheetViews>
  <sheetFormatPr baseColWidth="10" defaultRowHeight="15" x14ac:dyDescent="0.2"/>
  <cols>
    <col min="1" max="1" width="14.1640625" customWidth="1"/>
    <col min="3" max="3" width="59.83203125" customWidth="1"/>
    <col min="4" max="15" width="20.1640625" customWidth="1"/>
  </cols>
  <sheetData>
    <row r="1" spans="1:16" ht="87" customHeight="1" x14ac:dyDescent="0.25">
      <c r="A1" s="3" t="s">
        <v>252</v>
      </c>
      <c r="B1" s="7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4" x14ac:dyDescent="0.2">
      <c r="A2" s="127" t="s">
        <v>32</v>
      </c>
      <c r="B2" s="127" t="s">
        <v>146</v>
      </c>
      <c r="C2" s="127" t="s">
        <v>72</v>
      </c>
      <c r="D2" s="99" t="s">
        <v>256</v>
      </c>
      <c r="E2" s="99" t="s">
        <v>257</v>
      </c>
      <c r="F2" s="99" t="s">
        <v>329</v>
      </c>
      <c r="G2" s="99" t="s">
        <v>330</v>
      </c>
      <c r="H2" s="178" t="s">
        <v>331</v>
      </c>
      <c r="I2" s="99" t="s">
        <v>338</v>
      </c>
      <c r="J2" s="99" t="s">
        <v>332</v>
      </c>
      <c r="K2" s="178" t="s">
        <v>333</v>
      </c>
      <c r="L2" s="178" t="s">
        <v>335</v>
      </c>
      <c r="M2" s="178" t="s">
        <v>336</v>
      </c>
      <c r="N2" s="178" t="s">
        <v>337</v>
      </c>
      <c r="O2" s="99" t="s">
        <v>334</v>
      </c>
      <c r="P2" s="129" t="s">
        <v>138</v>
      </c>
    </row>
    <row r="3" spans="1:16" x14ac:dyDescent="0.2">
      <c r="A3" s="117" t="str">
        <f>ETPT_CA_JUR_DDG!D3</f>
        <v>A</v>
      </c>
      <c r="B3" s="96" t="s">
        <v>59</v>
      </c>
      <c r="C3" s="96" t="s">
        <v>58</v>
      </c>
      <c r="D3" s="135" t="str">
        <f>IF(ISERROR(ETPT_CA_ATTJ!D3),"",IF(ETPT_CA_ATTJ!D3=0,"",ETPT_CA_ATTJ!D3))</f>
        <v/>
      </c>
      <c r="E3" s="135" t="str">
        <f>IF(ISERROR(ETPT_CA_ATTJ!E3),"",IF(ETPT_CA_ATTJ!E3=0,"",ETPT_CA_ATTJ!E3))</f>
        <v/>
      </c>
      <c r="F3" s="135" t="str">
        <f>IF(ISERROR(ETPT_CA_ATTJ!F3),"",IF(ETPT_CA_ATTJ!F3=0,"",ETPT_CA_ATTJ!F3))</f>
        <v/>
      </c>
      <c r="G3" s="135" t="str">
        <f>IF(ISERROR(ETPT_CA_ATTJ!G3),"",IF(ETPT_CA_ATTJ!G3=0,"",ETPT_CA_ATTJ!G3))</f>
        <v/>
      </c>
      <c r="H3" s="135" t="str">
        <f>IF(ISERROR(ETPT_CA_ATTJ!H3),"",IF(ETPT_CA_ATTJ!H3=0,"",ETPT_CA_ATTJ!H3))</f>
        <v/>
      </c>
      <c r="I3" s="135" t="str">
        <f>IF(ISERROR(ETPT_CA_ATTJ!I3),"",IF(ETPT_CA_ATTJ!I3=0,"",ETPT_CA_ATTJ!I3))</f>
        <v/>
      </c>
      <c r="J3" s="135"/>
      <c r="K3" s="135"/>
      <c r="L3" s="135" t="str">
        <f>IF(ISERROR(ETPT_CA_ATTJ!L3),"",IF(ETPT_CA_ATTJ!L3=0,"",ETPT_CA_ATTJ!L3))</f>
        <v/>
      </c>
      <c r="M3" s="135" t="str">
        <f>IF(ISERROR(ETPT_CA_ATTJ!M3),"",IF(ETPT_CA_ATTJ!M3=0,"",ETPT_CA_ATTJ!M3))</f>
        <v/>
      </c>
      <c r="N3" s="135" t="str">
        <f>IF(ISERROR(ETPT_CA_ATTJ!N3),"",IF(ETPT_CA_ATTJ!N3=0,"",ETPT_CA_ATTJ!N3))</f>
        <v/>
      </c>
      <c r="O3" s="135" t="str">
        <f>IF(ISERROR(ETPT_CA_ATTJ!O3),"",IF(ETPT_CA_ATTJ!O3=0,"",ETPT_CA_ATTJ!O3))</f>
        <v/>
      </c>
      <c r="P3" s="141">
        <f>ETPT_CA_ATTJ!P3</f>
        <v>0</v>
      </c>
    </row>
    <row r="4" spans="1:16" x14ac:dyDescent="0.2">
      <c r="A4" s="117" t="str">
        <f>$A$3</f>
        <v>A</v>
      </c>
      <c r="B4" s="96" t="s">
        <v>57</v>
      </c>
      <c r="C4" s="96" t="s">
        <v>56</v>
      </c>
      <c r="D4" s="135" t="str">
        <f>IF(ISERROR(ETPT_CA_ATTJ!D4),"",IF(ETPT_CA_ATTJ!D4=0,"",ETPT_CA_ATTJ!D4))</f>
        <v/>
      </c>
      <c r="E4" s="135" t="str">
        <f>IF(ISERROR(ETPT_CA_ATTJ!E4),"",IF(ETPT_CA_ATTJ!E4=0,"",ETPT_CA_ATTJ!E4))</f>
        <v/>
      </c>
      <c r="F4" s="135" t="str">
        <f>IF(ISERROR(ETPT_CA_ATTJ!F4),"",IF(ETPT_CA_ATTJ!F4=0,"",ETPT_CA_ATTJ!F4))</f>
        <v/>
      </c>
      <c r="G4" s="135" t="str">
        <f>IF(ISERROR(ETPT_CA_ATTJ!G4),"",IF(ETPT_CA_ATTJ!G4=0,"",ETPT_CA_ATTJ!G4))</f>
        <v/>
      </c>
      <c r="H4" s="135" t="str">
        <f>IF(ISERROR(ETPT_CA_ATTJ!H4),"",IF(ETPT_CA_ATTJ!H4=0,"",ETPT_CA_ATTJ!H4))</f>
        <v/>
      </c>
      <c r="I4" s="135" t="str">
        <f>IF(ISERROR(ETPT_CA_ATTJ!I4),"",IF(ETPT_CA_ATTJ!I4=0,"",ETPT_CA_ATTJ!I4))</f>
        <v/>
      </c>
      <c r="J4" s="135"/>
      <c r="K4" s="135"/>
      <c r="L4" s="135" t="str">
        <f>IF(ISERROR(ETPT_CA_ATTJ!L4),"",IF(ETPT_CA_ATTJ!L4=0,"",ETPT_CA_ATTJ!L4))</f>
        <v/>
      </c>
      <c r="M4" s="135" t="str">
        <f>IF(ISERROR(ETPT_CA_ATTJ!M4),"",IF(ETPT_CA_ATTJ!M4=0,"",ETPT_CA_ATTJ!M4))</f>
        <v/>
      </c>
      <c r="N4" s="135" t="str">
        <f>IF(ISERROR(ETPT_CA_ATTJ!N4),"",IF(ETPT_CA_ATTJ!N4=0,"",ETPT_CA_ATTJ!N4))</f>
        <v/>
      </c>
      <c r="O4" s="135" t="str">
        <f>IF(ISERROR(ETPT_CA_ATTJ!O4),"",IF(ETPT_CA_ATTJ!O4=0,"",ETPT_CA_ATTJ!O4))</f>
        <v/>
      </c>
      <c r="P4" s="141">
        <f>ETPT_CA_ATTJ!P4</f>
        <v>0</v>
      </c>
    </row>
    <row r="5" spans="1:16" x14ac:dyDescent="0.2">
      <c r="A5" s="117" t="str">
        <f t="shared" ref="A5:A10" si="0">$A$3</f>
        <v>A</v>
      </c>
      <c r="B5" s="96" t="s">
        <v>53</v>
      </c>
      <c r="C5" s="96" t="s">
        <v>52</v>
      </c>
      <c r="D5" s="135" t="str">
        <f>IF(ISERROR(ETPT_CA_ATTJ!D5),"",IF(ETPT_CA_ATTJ!D5=0,"",ETPT_CA_ATTJ!D5))</f>
        <v/>
      </c>
      <c r="E5" s="135" t="str">
        <f>IF(ISERROR(ETPT_CA_ATTJ!E5),"",IF(ETPT_CA_ATTJ!E5=0,"",ETPT_CA_ATTJ!E5))</f>
        <v/>
      </c>
      <c r="F5" s="135" t="str">
        <f>IF(ISERROR(ETPT_CA_ATTJ!F5),"",IF(ETPT_CA_ATTJ!F5=0,"",ETPT_CA_ATTJ!F5))</f>
        <v/>
      </c>
      <c r="G5" s="135" t="str">
        <f>IF(ISERROR(ETPT_CA_ATTJ!G5),"",IF(ETPT_CA_ATTJ!G5=0,"",ETPT_CA_ATTJ!G5))</f>
        <v/>
      </c>
      <c r="H5" s="135" t="str">
        <f>IF(ISERROR(ETPT_CA_ATTJ!H5),"",IF(ETPT_CA_ATTJ!H5=0,"",ETPT_CA_ATTJ!H5))</f>
        <v/>
      </c>
      <c r="I5" s="135" t="str">
        <f>IF(ISERROR(ETPT_CA_ATTJ!I5),"",IF(ETPT_CA_ATTJ!I5=0,"",ETPT_CA_ATTJ!I5))</f>
        <v/>
      </c>
      <c r="J5" s="135"/>
      <c r="K5" s="135"/>
      <c r="L5" s="135" t="str">
        <f>IF(ISERROR(ETPT_CA_ATTJ!L5),"",IF(ETPT_CA_ATTJ!L5=0,"",ETPT_CA_ATTJ!L5))</f>
        <v/>
      </c>
      <c r="M5" s="135" t="str">
        <f>IF(ISERROR(ETPT_CA_ATTJ!M5),"",IF(ETPT_CA_ATTJ!M5=0,"",ETPT_CA_ATTJ!M5))</f>
        <v/>
      </c>
      <c r="N5" s="135" t="str">
        <f>IF(ISERROR(ETPT_CA_ATTJ!N5),"",IF(ETPT_CA_ATTJ!N5=0,"",ETPT_CA_ATTJ!N5))</f>
        <v/>
      </c>
      <c r="O5" s="135" t="str">
        <f>IF(ISERROR(ETPT_CA_ATTJ!O5),"",IF(ETPT_CA_ATTJ!O5=0,"",ETPT_CA_ATTJ!O5))</f>
        <v/>
      </c>
      <c r="P5" s="141">
        <f>ETPT_CA_ATTJ!P5</f>
        <v>0</v>
      </c>
    </row>
    <row r="6" spans="1:16" x14ac:dyDescent="0.2">
      <c r="A6" s="117" t="str">
        <f t="shared" si="0"/>
        <v>A</v>
      </c>
      <c r="B6" s="96" t="s">
        <v>51</v>
      </c>
      <c r="C6" s="96" t="s">
        <v>50</v>
      </c>
      <c r="D6" s="135" t="str">
        <f>IF(ISERROR(ETPT_CA_ATTJ!D6),"",IF(ETPT_CA_ATTJ!D6=0,"",ETPT_CA_ATTJ!D6))</f>
        <v/>
      </c>
      <c r="E6" s="135" t="str">
        <f>IF(ISERROR(ETPT_CA_ATTJ!E6),"",IF(ETPT_CA_ATTJ!E6=0,"",ETPT_CA_ATTJ!E6))</f>
        <v/>
      </c>
      <c r="F6" s="135" t="str">
        <f>IF(ISERROR(ETPT_CA_ATTJ!F6),"",IF(ETPT_CA_ATTJ!F6=0,"",ETPT_CA_ATTJ!F6))</f>
        <v/>
      </c>
      <c r="G6" s="135" t="str">
        <f>IF(ISERROR(ETPT_CA_ATTJ!G6),"",IF(ETPT_CA_ATTJ!G6=0,"",ETPT_CA_ATTJ!G6))</f>
        <v/>
      </c>
      <c r="H6" s="135" t="str">
        <f>IF(ISERROR(ETPT_CA_ATTJ!H6),"",IF(ETPT_CA_ATTJ!H6=0,"",ETPT_CA_ATTJ!H6))</f>
        <v/>
      </c>
      <c r="I6" s="135" t="str">
        <f>IF(ISERROR(ETPT_CA_ATTJ!I6),"",IF(ETPT_CA_ATTJ!I6=0,"",ETPT_CA_ATTJ!I6))</f>
        <v/>
      </c>
      <c r="J6" s="135"/>
      <c r="K6" s="135"/>
      <c r="L6" s="135" t="str">
        <f>IF(ISERROR(ETPT_CA_ATTJ!L6),"",IF(ETPT_CA_ATTJ!L6=0,"",ETPT_CA_ATTJ!L6))</f>
        <v/>
      </c>
      <c r="M6" s="135" t="str">
        <f>IF(ISERROR(ETPT_CA_ATTJ!M6),"",IF(ETPT_CA_ATTJ!M6=0,"",ETPT_CA_ATTJ!M6))</f>
        <v/>
      </c>
      <c r="N6" s="135" t="str">
        <f>IF(ISERROR(ETPT_CA_ATTJ!N6),"",IF(ETPT_CA_ATTJ!N6=0,"",ETPT_CA_ATTJ!N6))</f>
        <v/>
      </c>
      <c r="O6" s="135" t="str">
        <f>IF(ISERROR(ETPT_CA_ATTJ!O6),"",IF(ETPT_CA_ATTJ!O6=0,"",ETPT_CA_ATTJ!O6))</f>
        <v/>
      </c>
      <c r="P6" s="141">
        <f>ETPT_CA_ATTJ!P6</f>
        <v>0</v>
      </c>
    </row>
    <row r="7" spans="1:16" x14ac:dyDescent="0.2">
      <c r="A7" s="117" t="str">
        <f t="shared" si="0"/>
        <v>A</v>
      </c>
      <c r="B7" s="96" t="s">
        <v>49</v>
      </c>
      <c r="C7" s="96" t="s">
        <v>48</v>
      </c>
      <c r="D7" s="135" t="str">
        <f>IF(ISERROR(ETPT_CA_ATTJ!D7),"",IF(ETPT_CA_ATTJ!D7=0,"",ETPT_CA_ATTJ!D7))</f>
        <v/>
      </c>
      <c r="E7" s="135" t="str">
        <f>IF(ISERROR(ETPT_CA_ATTJ!E7),"",IF(ETPT_CA_ATTJ!E7=0,"",ETPT_CA_ATTJ!E7))</f>
        <v/>
      </c>
      <c r="F7" s="135" t="str">
        <f>IF(ISERROR(ETPT_CA_ATTJ!F7),"",IF(ETPT_CA_ATTJ!F7=0,"",ETPT_CA_ATTJ!F7))</f>
        <v/>
      </c>
      <c r="G7" s="135" t="str">
        <f>IF(ISERROR(ETPT_CA_ATTJ!G7),"",IF(ETPT_CA_ATTJ!G7=0,"",ETPT_CA_ATTJ!G7))</f>
        <v/>
      </c>
      <c r="H7" s="135" t="str">
        <f>IF(ISERROR(ETPT_CA_ATTJ!H7),"",IF(ETPT_CA_ATTJ!H7=0,"",ETPT_CA_ATTJ!H7))</f>
        <v/>
      </c>
      <c r="I7" s="135" t="str">
        <f>IF(ISERROR(ETPT_CA_ATTJ!I7),"",IF(ETPT_CA_ATTJ!I7=0,"",ETPT_CA_ATTJ!I7))</f>
        <v/>
      </c>
      <c r="J7" s="135"/>
      <c r="K7" s="135"/>
      <c r="L7" s="135" t="str">
        <f>IF(ISERROR(ETPT_CA_ATTJ!L7),"",IF(ETPT_CA_ATTJ!L7=0,"",ETPT_CA_ATTJ!L7))</f>
        <v/>
      </c>
      <c r="M7" s="135" t="str">
        <f>IF(ISERROR(ETPT_CA_ATTJ!M7),"",IF(ETPT_CA_ATTJ!M7=0,"",ETPT_CA_ATTJ!M7))</f>
        <v/>
      </c>
      <c r="N7" s="135" t="str">
        <f>IF(ISERROR(ETPT_CA_ATTJ!N7),"",IF(ETPT_CA_ATTJ!N7=0,"",ETPT_CA_ATTJ!N7))</f>
        <v/>
      </c>
      <c r="O7" s="135" t="str">
        <f>IF(ISERROR(ETPT_CA_ATTJ!O7),"",IF(ETPT_CA_ATTJ!O7=0,"",ETPT_CA_ATTJ!O7))</f>
        <v/>
      </c>
      <c r="P7" s="141">
        <f>ETPT_CA_ATTJ!P7</f>
        <v>0</v>
      </c>
    </row>
    <row r="8" spans="1:16" x14ac:dyDescent="0.2">
      <c r="A8" s="117" t="str">
        <f t="shared" si="0"/>
        <v>A</v>
      </c>
      <c r="B8" s="96" t="s">
        <v>47</v>
      </c>
      <c r="C8" s="96" t="s">
        <v>46</v>
      </c>
      <c r="D8" s="135" t="str">
        <f>IF(ISERROR(ETPT_CA_ATTJ!D8),"",IF(ETPT_CA_ATTJ!D8=0,"",ETPT_CA_ATTJ!D8))</f>
        <v/>
      </c>
      <c r="E8" s="135" t="str">
        <f>IF(ISERROR(ETPT_CA_ATTJ!E8),"",IF(ETPT_CA_ATTJ!E8=0,"",ETPT_CA_ATTJ!E8))</f>
        <v/>
      </c>
      <c r="F8" s="135" t="str">
        <f>IF(ISERROR(ETPT_CA_ATTJ!F8),"",IF(ETPT_CA_ATTJ!F8=0,"",ETPT_CA_ATTJ!F8))</f>
        <v/>
      </c>
      <c r="G8" s="135" t="str">
        <f>IF(ISERROR(ETPT_CA_ATTJ!G8),"",IF(ETPT_CA_ATTJ!G8=0,"",ETPT_CA_ATTJ!G8))</f>
        <v/>
      </c>
      <c r="H8" s="135" t="str">
        <f>IF(ISERROR(ETPT_CA_ATTJ!H8),"",IF(ETPT_CA_ATTJ!H8=0,"",ETPT_CA_ATTJ!H8))</f>
        <v/>
      </c>
      <c r="I8" s="135" t="str">
        <f>IF(ISERROR(ETPT_CA_ATTJ!I8),"",IF(ETPT_CA_ATTJ!I8=0,"",ETPT_CA_ATTJ!I8))</f>
        <v/>
      </c>
      <c r="J8" s="135"/>
      <c r="K8" s="135"/>
      <c r="L8" s="135" t="str">
        <f>IF(ISERROR(ETPT_CA_ATTJ!L8),"",IF(ETPT_CA_ATTJ!L8=0,"",ETPT_CA_ATTJ!L8))</f>
        <v/>
      </c>
      <c r="M8" s="135" t="str">
        <f>IF(ISERROR(ETPT_CA_ATTJ!M8),"",IF(ETPT_CA_ATTJ!M8=0,"",ETPT_CA_ATTJ!M8))</f>
        <v/>
      </c>
      <c r="N8" s="135" t="str">
        <f>IF(ISERROR(ETPT_CA_ATTJ!N8),"",IF(ETPT_CA_ATTJ!N8=0,"",ETPT_CA_ATTJ!N8))</f>
        <v/>
      </c>
      <c r="O8" s="135" t="str">
        <f>IF(ISERROR(ETPT_CA_ATTJ!O8),"",IF(ETPT_CA_ATTJ!O8=0,"",ETPT_CA_ATTJ!O8))</f>
        <v/>
      </c>
      <c r="P8" s="141">
        <f>ETPT_CA_ATTJ!P8</f>
        <v>0</v>
      </c>
    </row>
    <row r="9" spans="1:16" x14ac:dyDescent="0.2">
      <c r="A9" s="117" t="str">
        <f t="shared" si="0"/>
        <v>A</v>
      </c>
      <c r="B9" s="96" t="s">
        <v>45</v>
      </c>
      <c r="C9" s="96" t="s">
        <v>44</v>
      </c>
      <c r="D9" s="135" t="str">
        <f>IF(ISERROR(ETPT_CA_ATTJ!D9),"",IF(ETPT_CA_ATTJ!D9=0,"",ETPT_CA_ATTJ!D9))</f>
        <v/>
      </c>
      <c r="E9" s="135" t="str">
        <f>IF(ISERROR(ETPT_CA_ATTJ!E9),"",IF(ETPT_CA_ATTJ!E9=0,"",ETPT_CA_ATTJ!E9))</f>
        <v/>
      </c>
      <c r="F9" s="135" t="str">
        <f>IF(ISERROR(ETPT_CA_ATTJ!F9),"",IF(ETPT_CA_ATTJ!F9=0,"",ETPT_CA_ATTJ!F9))</f>
        <v/>
      </c>
      <c r="G9" s="135" t="str">
        <f>IF(ISERROR(ETPT_CA_ATTJ!G9),"",IF(ETPT_CA_ATTJ!G9=0,"",ETPT_CA_ATTJ!G9))</f>
        <v/>
      </c>
      <c r="H9" s="135" t="str">
        <f>IF(ISERROR(ETPT_CA_ATTJ!H9),"",IF(ETPT_CA_ATTJ!H9=0,"",ETPT_CA_ATTJ!H9))</f>
        <v/>
      </c>
      <c r="I9" s="135" t="str">
        <f>IF(ISERROR(ETPT_CA_ATTJ!I9),"",IF(ETPT_CA_ATTJ!I9=0,"",ETPT_CA_ATTJ!I9))</f>
        <v/>
      </c>
      <c r="J9" s="135"/>
      <c r="K9" s="135"/>
      <c r="L9" s="135" t="str">
        <f>IF(ISERROR(ETPT_CA_ATTJ!L9),"",IF(ETPT_CA_ATTJ!L9=0,"",ETPT_CA_ATTJ!L9))</f>
        <v/>
      </c>
      <c r="M9" s="135" t="str">
        <f>IF(ISERROR(ETPT_CA_ATTJ!M9),"",IF(ETPT_CA_ATTJ!M9=0,"",ETPT_CA_ATTJ!M9))</f>
        <v/>
      </c>
      <c r="N9" s="135" t="str">
        <f>IF(ISERROR(ETPT_CA_ATTJ!N9),"",IF(ETPT_CA_ATTJ!N9=0,"",ETPT_CA_ATTJ!N9))</f>
        <v/>
      </c>
      <c r="O9" s="135" t="str">
        <f>IF(ISERROR(ETPT_CA_ATTJ!O9),"",IF(ETPT_CA_ATTJ!O9=0,"",ETPT_CA_ATTJ!O9))</f>
        <v/>
      </c>
      <c r="P9" s="141">
        <f>ETPT_CA_ATTJ!P9</f>
        <v>0</v>
      </c>
    </row>
    <row r="10" spans="1:16" x14ac:dyDescent="0.2">
      <c r="A10" s="117" t="str">
        <f t="shared" si="0"/>
        <v>A</v>
      </c>
      <c r="B10" s="96" t="s">
        <v>43</v>
      </c>
      <c r="C10" s="96" t="s">
        <v>42</v>
      </c>
      <c r="D10" s="135" t="str">
        <f>IF(ISERROR(ETPT_CA_ATTJ!D10),"",IF(ETPT_CA_ATTJ!D10=0,"",ETPT_CA_ATTJ!D10))</f>
        <v/>
      </c>
      <c r="E10" s="135" t="str">
        <f>IF(ISERROR(ETPT_CA_ATTJ!E10),"",IF(ETPT_CA_ATTJ!E10=0,"",ETPT_CA_ATTJ!E10))</f>
        <v/>
      </c>
      <c r="F10" s="135" t="str">
        <f>IF(ISERROR(ETPT_CA_ATTJ!F10),"",IF(ETPT_CA_ATTJ!F10=0,"",ETPT_CA_ATTJ!F10))</f>
        <v/>
      </c>
      <c r="G10" s="135" t="str">
        <f>IF(ISERROR(ETPT_CA_ATTJ!G10),"",IF(ETPT_CA_ATTJ!G10=0,"",ETPT_CA_ATTJ!G10))</f>
        <v/>
      </c>
      <c r="H10" s="135" t="str">
        <f>IF(ISERROR(ETPT_CA_ATTJ!H10),"",IF(ETPT_CA_ATTJ!H10=0,"",ETPT_CA_ATTJ!H10))</f>
        <v/>
      </c>
      <c r="I10" s="135" t="str">
        <f>IF(ISERROR(ETPT_CA_ATTJ!I10),"",IF(ETPT_CA_ATTJ!I10=0,"",ETPT_CA_ATTJ!I10))</f>
        <v/>
      </c>
      <c r="J10" s="135"/>
      <c r="K10" s="135"/>
      <c r="L10" s="135" t="str">
        <f>IF(ISERROR(ETPT_CA_ATTJ!L10),"",IF(ETPT_CA_ATTJ!L10=0,"",ETPT_CA_ATTJ!L10))</f>
        <v/>
      </c>
      <c r="M10" s="135" t="str">
        <f>IF(ISERROR(ETPT_CA_ATTJ!M10),"",IF(ETPT_CA_ATTJ!M10=0,"",ETPT_CA_ATTJ!M10))</f>
        <v/>
      </c>
      <c r="N10" s="135" t="str">
        <f>IF(ISERROR(ETPT_CA_ATTJ!N10),"",IF(ETPT_CA_ATTJ!N10=0,"",ETPT_CA_ATTJ!N10))</f>
        <v/>
      </c>
      <c r="O10" s="135" t="str">
        <f>IF(ISERROR(ETPT_CA_ATTJ!O10),"",IF(ETPT_CA_ATTJ!O10=0,"",ETPT_CA_ATTJ!O10))</f>
        <v/>
      </c>
      <c r="P10" s="141">
        <f>ETPT_CA_ATTJ!P10</f>
        <v>0</v>
      </c>
    </row>
    <row r="11" spans="1:16" x14ac:dyDescent="0.2">
      <c r="A11" s="126"/>
      <c r="B11" s="126"/>
      <c r="C11" s="140" t="s">
        <v>37</v>
      </c>
      <c r="D11" s="141">
        <f>ETPT_CA_ATTJ!D11</f>
        <v>0</v>
      </c>
      <c r="E11" s="141">
        <f>ETPT_CA_ATTJ!E11</f>
        <v>0</v>
      </c>
      <c r="F11" s="141">
        <f>ETPT_CA_ATTJ!F11</f>
        <v>0</v>
      </c>
      <c r="G11" s="141">
        <f>ETPT_CA_ATTJ!G11</f>
        <v>0</v>
      </c>
      <c r="H11" s="141">
        <f>ETPT_CA_ATTJ!H11</f>
        <v>0</v>
      </c>
      <c r="I11" s="141">
        <f>ETPT_CA_ATTJ!I11</f>
        <v>0</v>
      </c>
      <c r="J11" s="141"/>
      <c r="K11" s="141"/>
      <c r="L11" s="141">
        <f>ETPT_CA_ATTJ!L11</f>
        <v>0</v>
      </c>
      <c r="M11" s="141">
        <f>ETPT_CA_ATTJ!M11</f>
        <v>0</v>
      </c>
      <c r="N11" s="141">
        <f>ETPT_CA_ATTJ!N11</f>
        <v>0</v>
      </c>
      <c r="O11" s="141">
        <f>ETPT_CA_ATTJ!O11</f>
        <v>0</v>
      </c>
      <c r="P11" s="141">
        <f>ETPT_CA_ATTJ!P11</f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DAE4-6E6E-634B-B61F-BD7DA00BF20E}">
  <dimension ref="A1:U17"/>
  <sheetViews>
    <sheetView topLeftCell="P1" zoomScale="75" workbookViewId="0">
      <selection activeCell="T12" sqref="T12"/>
    </sheetView>
  </sheetViews>
  <sheetFormatPr baseColWidth="10" defaultRowHeight="15" x14ac:dyDescent="0.2"/>
  <cols>
    <col min="1" max="1" width="14" bestFit="1" customWidth="1"/>
    <col min="6" max="24" width="48.6640625" customWidth="1"/>
  </cols>
  <sheetData>
    <row r="1" spans="1:21" ht="56" customHeight="1" x14ac:dyDescent="0.2">
      <c r="A1" s="206" t="s">
        <v>107</v>
      </c>
      <c r="B1" s="206"/>
      <c r="C1" s="206"/>
      <c r="D1" s="206"/>
      <c r="E1" s="206"/>
      <c r="F1" s="152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</row>
    <row r="2" spans="1:21" ht="60" customHeight="1" x14ac:dyDescent="0.2">
      <c r="A2" s="84"/>
      <c r="B2" s="85" t="s">
        <v>75</v>
      </c>
      <c r="C2" s="85" t="s">
        <v>74</v>
      </c>
      <c r="D2" s="85" t="s">
        <v>32</v>
      </c>
      <c r="E2" s="85" t="s">
        <v>73</v>
      </c>
      <c r="F2" s="85" t="s">
        <v>72</v>
      </c>
      <c r="G2" s="72" t="s">
        <v>71</v>
      </c>
      <c r="H2" s="151"/>
      <c r="I2" s="72" t="s">
        <v>70</v>
      </c>
      <c r="J2" s="72" t="s">
        <v>265</v>
      </c>
      <c r="K2" s="72" t="s">
        <v>68</v>
      </c>
      <c r="L2" s="72" t="s">
        <v>266</v>
      </c>
      <c r="M2" s="72" t="s">
        <v>110</v>
      </c>
      <c r="N2" s="72" t="s">
        <v>67</v>
      </c>
      <c r="O2" s="151"/>
      <c r="P2" s="72" t="s">
        <v>267</v>
      </c>
      <c r="Q2" s="72" t="s">
        <v>65</v>
      </c>
      <c r="R2" s="72" t="s">
        <v>268</v>
      </c>
      <c r="S2" s="72" t="s">
        <v>112</v>
      </c>
      <c r="T2" s="72" t="s">
        <v>64</v>
      </c>
      <c r="U2" s="151"/>
    </row>
    <row r="3" spans="1:21" ht="158" customHeight="1" x14ac:dyDescent="0.2">
      <c r="A3" s="86" t="s">
        <v>113</v>
      </c>
      <c r="B3" s="87"/>
      <c r="C3" s="87"/>
      <c r="D3" s="87"/>
      <c r="E3" s="87" t="s">
        <v>59</v>
      </c>
      <c r="F3" s="88" t="s">
        <v>58</v>
      </c>
      <c r="G3" s="74" t="s">
        <v>260</v>
      </c>
      <c r="H3" s="71" t="e">
        <f>SUMIF(#REF!,#REF!,$G3:G3)</f>
        <v>#REF!</v>
      </c>
      <c r="I3" s="74" t="s">
        <v>197</v>
      </c>
      <c r="J3" s="154"/>
      <c r="K3" s="154"/>
      <c r="L3" s="154"/>
      <c r="M3" s="74" t="s">
        <v>198</v>
      </c>
      <c r="N3" s="74" t="s">
        <v>199</v>
      </c>
      <c r="O3" s="71" t="e">
        <f>SUMIF(#REF!,#REF!,$G3:N3)</f>
        <v>#REF!</v>
      </c>
      <c r="P3" s="154"/>
      <c r="Q3" s="154"/>
      <c r="R3" s="154"/>
      <c r="S3" s="74" t="s">
        <v>200</v>
      </c>
      <c r="T3" s="74" t="s">
        <v>201</v>
      </c>
      <c r="U3" s="71" t="e">
        <f>SUMIF(#REF!,#REF!,$G3:T3)</f>
        <v>#REF!</v>
      </c>
    </row>
    <row r="4" spans="1:21" ht="162" customHeight="1" x14ac:dyDescent="0.2">
      <c r="A4" s="86" t="s">
        <v>113</v>
      </c>
      <c r="B4" s="87"/>
      <c r="C4" s="87"/>
      <c r="D4" s="87"/>
      <c r="E4" s="87" t="s">
        <v>57</v>
      </c>
      <c r="F4" s="88" t="s">
        <v>56</v>
      </c>
      <c r="G4" s="74" t="s">
        <v>261</v>
      </c>
      <c r="H4" s="71" t="e">
        <f>SUMIF(#REF!,#REF!,$G4:G4)</f>
        <v>#REF!</v>
      </c>
      <c r="I4" s="155"/>
      <c r="J4" s="74" t="s">
        <v>202</v>
      </c>
      <c r="K4" s="74" t="s">
        <v>203</v>
      </c>
      <c r="L4" s="74" t="s">
        <v>204</v>
      </c>
      <c r="M4" s="154"/>
      <c r="N4" s="74" t="s">
        <v>279</v>
      </c>
      <c r="O4" s="71" t="e">
        <f>SUMIF(#REF!,#REF!,$G4:N4)</f>
        <v>#REF!</v>
      </c>
      <c r="P4" s="74" t="s">
        <v>205</v>
      </c>
      <c r="Q4" s="74" t="s">
        <v>206</v>
      </c>
      <c r="R4" s="74" t="s">
        <v>207</v>
      </c>
      <c r="S4" s="154"/>
      <c r="T4" s="74" t="s">
        <v>281</v>
      </c>
      <c r="U4" s="71" t="e">
        <f>SUMIF(#REF!,#REF!,$G4:T4)</f>
        <v>#REF!</v>
      </c>
    </row>
    <row r="5" spans="1:21" ht="139" customHeight="1" x14ac:dyDescent="0.2">
      <c r="A5" s="86" t="s">
        <v>113</v>
      </c>
      <c r="B5" s="87"/>
      <c r="C5" s="87"/>
      <c r="D5" s="87"/>
      <c r="E5" s="87" t="s">
        <v>55</v>
      </c>
      <c r="F5" s="88" t="s">
        <v>54</v>
      </c>
      <c r="G5" s="156"/>
      <c r="H5" s="71" t="e">
        <f>SUMIF(#REF!,#REF!,$G5:G5)</f>
        <v>#REF!</v>
      </c>
      <c r="I5" s="156"/>
      <c r="J5" s="156"/>
      <c r="K5" s="156"/>
      <c r="L5" s="156"/>
      <c r="M5" s="156"/>
      <c r="N5" s="157"/>
      <c r="O5" s="71" t="e">
        <f>SUMIF(#REF!,#REF!,$G5:N5)</f>
        <v>#REF!</v>
      </c>
      <c r="P5" s="156"/>
      <c r="Q5" s="156"/>
      <c r="R5" s="156"/>
      <c r="S5" s="156"/>
      <c r="T5" s="74" t="s">
        <v>208</v>
      </c>
      <c r="U5" s="71" t="e">
        <f>SUMIF(#REF!,#REF!,$G5:T5)</f>
        <v>#REF!</v>
      </c>
    </row>
    <row r="6" spans="1:21" ht="139" customHeight="1" x14ac:dyDescent="0.2">
      <c r="A6" s="86" t="s">
        <v>113</v>
      </c>
      <c r="B6" s="87"/>
      <c r="C6" s="87"/>
      <c r="D6" s="87"/>
      <c r="E6" s="87" t="s">
        <v>53</v>
      </c>
      <c r="F6" s="88" t="s">
        <v>52</v>
      </c>
      <c r="G6" s="74" t="s">
        <v>209</v>
      </c>
      <c r="H6" s="71" t="e">
        <f>SUMIF(#REF!,#REF!,$G6:G6)</f>
        <v>#REF!</v>
      </c>
      <c r="I6" s="156"/>
      <c r="J6" s="156"/>
      <c r="K6" s="156"/>
      <c r="L6" s="156"/>
      <c r="M6" s="156"/>
      <c r="N6" s="74" t="s">
        <v>210</v>
      </c>
      <c r="O6" s="71" t="e">
        <f>SUMIF(#REF!,#REF!,$G6:N6)</f>
        <v>#REF!</v>
      </c>
      <c r="P6" s="156"/>
      <c r="Q6" s="156"/>
      <c r="R6" s="156"/>
      <c r="S6" s="156"/>
      <c r="T6" s="74" t="s">
        <v>211</v>
      </c>
      <c r="U6" s="71" t="e">
        <f>SUMIF(#REF!,#REF!,$G6:T6)</f>
        <v>#REF!</v>
      </c>
    </row>
    <row r="7" spans="1:21" ht="139" customHeight="1" x14ac:dyDescent="0.2">
      <c r="A7" s="86" t="s">
        <v>113</v>
      </c>
      <c r="B7" s="87"/>
      <c r="C7" s="87"/>
      <c r="D7" s="87"/>
      <c r="E7" s="87" t="s">
        <v>51</v>
      </c>
      <c r="F7" s="88" t="s">
        <v>50</v>
      </c>
      <c r="G7" s="74" t="s">
        <v>212</v>
      </c>
      <c r="H7" s="71" t="e">
        <f>SUMIF(#REF!,#REF!,$G7:G7)</f>
        <v>#REF!</v>
      </c>
      <c r="I7" s="156"/>
      <c r="J7" s="156"/>
      <c r="K7" s="156"/>
      <c r="L7" s="156"/>
      <c r="M7" s="156"/>
      <c r="N7" s="74" t="s">
        <v>213</v>
      </c>
      <c r="O7" s="71" t="e">
        <f>SUMIF(#REF!,#REF!,$G7:N7)</f>
        <v>#REF!</v>
      </c>
      <c r="P7" s="156"/>
      <c r="Q7" s="156"/>
      <c r="R7" s="156"/>
      <c r="S7" s="156"/>
      <c r="T7" s="74" t="s">
        <v>214</v>
      </c>
      <c r="U7" s="71" t="e">
        <f>SUMIF(#REF!,#REF!,$G7:T7)</f>
        <v>#REF!</v>
      </c>
    </row>
    <row r="8" spans="1:21" ht="139" customHeight="1" x14ac:dyDescent="0.2">
      <c r="A8" s="86" t="s">
        <v>113</v>
      </c>
      <c r="B8" s="87"/>
      <c r="C8" s="87"/>
      <c r="D8" s="87"/>
      <c r="E8" s="87" t="s">
        <v>49</v>
      </c>
      <c r="F8" s="88" t="s">
        <v>48</v>
      </c>
      <c r="G8" s="74" t="s">
        <v>215</v>
      </c>
      <c r="H8" s="71" t="e">
        <f>SUMIF(#REF!,#REF!,$G8:G8)</f>
        <v>#REF!</v>
      </c>
      <c r="I8" s="156"/>
      <c r="J8" s="156"/>
      <c r="K8" s="156"/>
      <c r="L8" s="156"/>
      <c r="M8" s="156"/>
      <c r="N8" s="74" t="s">
        <v>216</v>
      </c>
      <c r="O8" s="71" t="e">
        <f>SUMIF(#REF!,#REF!,$G8:N8)</f>
        <v>#REF!</v>
      </c>
      <c r="P8" s="156"/>
      <c r="Q8" s="156"/>
      <c r="R8" s="156"/>
      <c r="S8" s="156"/>
      <c r="T8" s="74" t="s">
        <v>217</v>
      </c>
      <c r="U8" s="71" t="e">
        <f>SUMIF(#REF!,#REF!,$G8:T8)</f>
        <v>#REF!</v>
      </c>
    </row>
    <row r="9" spans="1:21" ht="139" customHeight="1" x14ac:dyDescent="0.2">
      <c r="A9" s="86" t="s">
        <v>113</v>
      </c>
      <c r="B9" s="87"/>
      <c r="C9" s="87"/>
      <c r="D9" s="87"/>
      <c r="E9" s="87" t="s">
        <v>47</v>
      </c>
      <c r="F9" s="88" t="s">
        <v>46</v>
      </c>
      <c r="G9" s="74" t="s">
        <v>218</v>
      </c>
      <c r="H9" s="71" t="e">
        <f>SUMIF(#REF!,#REF!,$G9:G9)</f>
        <v>#REF!</v>
      </c>
      <c r="I9" s="156"/>
      <c r="J9" s="156"/>
      <c r="K9" s="156"/>
      <c r="L9" s="156"/>
      <c r="M9" s="156"/>
      <c r="N9" s="74" t="s">
        <v>219</v>
      </c>
      <c r="O9" s="71" t="e">
        <f>SUMIF(#REF!,#REF!,$G9:N9)</f>
        <v>#REF!</v>
      </c>
      <c r="P9" s="156"/>
      <c r="Q9" s="156"/>
      <c r="R9" s="156"/>
      <c r="S9" s="156"/>
      <c r="T9" s="74" t="s">
        <v>220</v>
      </c>
      <c r="U9" s="71" t="e">
        <f>SUMIF(#REF!,#REF!,$G9:T9)</f>
        <v>#REF!</v>
      </c>
    </row>
    <row r="10" spans="1:21" ht="139" customHeight="1" x14ac:dyDescent="0.2">
      <c r="A10" s="86" t="s">
        <v>113</v>
      </c>
      <c r="B10" s="87"/>
      <c r="C10" s="87"/>
      <c r="D10" s="87"/>
      <c r="E10" s="87" t="s">
        <v>45</v>
      </c>
      <c r="F10" s="88" t="s">
        <v>44</v>
      </c>
      <c r="G10" s="74" t="s">
        <v>221</v>
      </c>
      <c r="H10" s="71" t="e">
        <f>SUMIF(#REF!,#REF!,$G10:G10)</f>
        <v>#REF!</v>
      </c>
      <c r="I10" s="156"/>
      <c r="J10" s="156"/>
      <c r="K10" s="156"/>
      <c r="L10" s="156"/>
      <c r="M10" s="156"/>
      <c r="N10" s="74" t="s">
        <v>222</v>
      </c>
      <c r="O10" s="71" t="e">
        <f>SUMIF(#REF!,#REF!,$G10:N10)</f>
        <v>#REF!</v>
      </c>
      <c r="P10" s="156"/>
      <c r="Q10" s="156"/>
      <c r="R10" s="156"/>
      <c r="S10" s="156"/>
      <c r="T10" s="74" t="s">
        <v>223</v>
      </c>
      <c r="U10" s="71" t="e">
        <f>SUMIF(#REF!,#REF!,$G10:T10)</f>
        <v>#REF!</v>
      </c>
    </row>
    <row r="11" spans="1:21" ht="139" customHeight="1" x14ac:dyDescent="0.2">
      <c r="A11" s="86" t="s">
        <v>113</v>
      </c>
      <c r="B11" s="87"/>
      <c r="C11" s="87"/>
      <c r="D11" s="87"/>
      <c r="E11" s="87" t="s">
        <v>43</v>
      </c>
      <c r="F11" s="88" t="s">
        <v>42</v>
      </c>
      <c r="G11" s="74" t="s">
        <v>224</v>
      </c>
      <c r="H11" s="71" t="e">
        <f>SUMIF(#REF!,#REF!,$G11:G11)</f>
        <v>#REF!</v>
      </c>
      <c r="I11" s="156"/>
      <c r="J11" s="156"/>
      <c r="K11" s="156"/>
      <c r="L11" s="156"/>
      <c r="M11" s="156"/>
      <c r="N11" s="74" t="s">
        <v>225</v>
      </c>
      <c r="O11" s="71" t="e">
        <f>SUMIF(#REF!,#REF!,$G11:N11)</f>
        <v>#REF!</v>
      </c>
      <c r="P11" s="156"/>
      <c r="Q11" s="156"/>
      <c r="R11" s="156"/>
      <c r="S11" s="156"/>
      <c r="T11" s="74" t="s">
        <v>226</v>
      </c>
      <c r="U11" s="71" t="e">
        <f>SUMIF(#REF!,#REF!,$G11:T11)</f>
        <v>#REF!</v>
      </c>
    </row>
    <row r="12" spans="1:21" ht="139" customHeight="1" x14ac:dyDescent="0.2">
      <c r="A12" s="86" t="s">
        <v>113</v>
      </c>
      <c r="B12" s="87"/>
      <c r="C12" s="87"/>
      <c r="D12" s="87"/>
      <c r="E12" s="87" t="s">
        <v>41</v>
      </c>
      <c r="F12" s="88" t="s">
        <v>40</v>
      </c>
      <c r="G12" s="74" t="s">
        <v>227</v>
      </c>
      <c r="H12" s="71" t="e">
        <f>SUMIF(#REF!,#REF!,$G12:G12)</f>
        <v>#REF!</v>
      </c>
      <c r="I12" s="74" t="s">
        <v>228</v>
      </c>
      <c r="J12" s="74" t="s">
        <v>229</v>
      </c>
      <c r="K12" s="74" t="s">
        <v>230</v>
      </c>
      <c r="L12" s="74" t="s">
        <v>231</v>
      </c>
      <c r="M12" s="74" t="s">
        <v>232</v>
      </c>
      <c r="N12" s="74" t="s">
        <v>280</v>
      </c>
      <c r="O12" s="71" t="e">
        <f>SUMIF(#REF!,#REF!,$G12:N12)</f>
        <v>#REF!</v>
      </c>
      <c r="P12" s="74" t="s">
        <v>233</v>
      </c>
      <c r="Q12" s="74" t="s">
        <v>234</v>
      </c>
      <c r="R12" s="74" t="s">
        <v>235</v>
      </c>
      <c r="S12" s="74" t="s">
        <v>236</v>
      </c>
      <c r="T12" s="74" t="s">
        <v>282</v>
      </c>
      <c r="U12" s="71" t="e">
        <f>SUMIF(#REF!,#REF!,$G12:T12)</f>
        <v>#REF!</v>
      </c>
    </row>
    <row r="13" spans="1:21" ht="139" customHeight="1" x14ac:dyDescent="0.2">
      <c r="A13" s="86" t="s">
        <v>113</v>
      </c>
      <c r="B13" s="87"/>
      <c r="C13" s="87"/>
      <c r="D13" s="87"/>
      <c r="E13" s="87" t="s">
        <v>114</v>
      </c>
      <c r="F13" s="89" t="s">
        <v>115</v>
      </c>
      <c r="G13" s="90" t="s">
        <v>237</v>
      </c>
      <c r="H13" s="71" t="e">
        <f>SUMIF(#REF!,#REF!,$G13:G13)</f>
        <v>#REF!</v>
      </c>
      <c r="I13" s="158"/>
      <c r="J13" s="159"/>
      <c r="K13" s="159"/>
      <c r="L13" s="159"/>
      <c r="M13" s="159"/>
      <c r="N13" s="90" t="s">
        <v>237</v>
      </c>
      <c r="O13" s="71" t="e">
        <f>SUMIF(#REF!,#REF!,$G13:N13)</f>
        <v>#REF!</v>
      </c>
      <c r="P13" s="159"/>
      <c r="Q13" s="159"/>
      <c r="R13" s="159"/>
      <c r="S13" s="159"/>
      <c r="T13" s="74" t="s">
        <v>262</v>
      </c>
      <c r="U13" s="71" t="e">
        <f>SUMIF(#REF!,#REF!,$G13:T13)</f>
        <v>#REF!</v>
      </c>
    </row>
    <row r="14" spans="1:21" ht="139" customHeight="1" x14ac:dyDescent="0.2">
      <c r="A14" s="86" t="s">
        <v>113</v>
      </c>
      <c r="B14" s="87"/>
      <c r="C14" s="87"/>
      <c r="D14" s="87"/>
      <c r="E14" s="87" t="s">
        <v>39</v>
      </c>
      <c r="F14" s="88" t="s">
        <v>38</v>
      </c>
      <c r="G14" s="74" t="s">
        <v>238</v>
      </c>
      <c r="H14" s="71" t="e">
        <f>SUMIF(#REF!,#REF!,$G14:G14)</f>
        <v>#REF!</v>
      </c>
      <c r="I14" s="74" t="s">
        <v>239</v>
      </c>
      <c r="J14" s="74" t="s">
        <v>240</v>
      </c>
      <c r="K14" s="74" t="s">
        <v>241</v>
      </c>
      <c r="L14" s="74" t="s">
        <v>242</v>
      </c>
      <c r="M14" s="74" t="s">
        <v>243</v>
      </c>
      <c r="N14" s="74" t="s">
        <v>244</v>
      </c>
      <c r="O14" s="71" t="e">
        <f>SUMIF(#REF!,#REF!,$G14:N14)</f>
        <v>#REF!</v>
      </c>
      <c r="P14" s="74" t="s">
        <v>245</v>
      </c>
      <c r="Q14" s="74" t="s">
        <v>246</v>
      </c>
      <c r="R14" s="74" t="s">
        <v>247</v>
      </c>
      <c r="S14" s="74" t="s">
        <v>248</v>
      </c>
      <c r="T14" s="74" t="s">
        <v>249</v>
      </c>
      <c r="U14" s="71" t="e">
        <f>SUMIF(#REF!,#REF!,$G14:T14)</f>
        <v>#REF!</v>
      </c>
    </row>
    <row r="15" spans="1:21" ht="139" customHeight="1" x14ac:dyDescent="0.2">
      <c r="A15" s="91"/>
      <c r="B15" s="92"/>
      <c r="C15" s="93"/>
      <c r="D15" s="92"/>
      <c r="E15" s="92"/>
      <c r="F15" s="94" t="s">
        <v>37</v>
      </c>
      <c r="G15" s="71">
        <f>SUMIF($C$3:$C14,$C14,G$3:G14)</f>
        <v>0</v>
      </c>
      <c r="H15" s="71">
        <f>SUMIF($C$3:$C14,$C14,H$3:H14)</f>
        <v>0</v>
      </c>
      <c r="I15" s="71">
        <f>SUMIF($C$3:$C14,$C14,I$3:I14)</f>
        <v>0</v>
      </c>
      <c r="J15" s="71">
        <f>SUMIF($C$3:$C14,$C14,J$3:J14)</f>
        <v>0</v>
      </c>
      <c r="K15" s="71">
        <f>SUMIF($C$3:$C14,$C14,K$3:K14)</f>
        <v>0</v>
      </c>
      <c r="L15" s="71">
        <f>SUMIF($C$3:$C14,$C14,L$3:L14)</f>
        <v>0</v>
      </c>
      <c r="M15" s="71">
        <f>SUMIF($C$3:$C14,$C14,M$3:M14)</f>
        <v>0</v>
      </c>
      <c r="N15" s="71">
        <f>SUMIF($C$3:$C14,$C14,N$3:N14)</f>
        <v>0</v>
      </c>
      <c r="O15" s="71" t="e">
        <f>SUMIF(#REF!,#REF!,$G15:N15)</f>
        <v>#REF!</v>
      </c>
      <c r="P15" s="71">
        <f>SUMIF($C$3:$C14,$C14,P$3:P14)</f>
        <v>0</v>
      </c>
      <c r="Q15" s="71">
        <f>SUMIF($C$3:$C14,$C14,Q$3:Q14)</f>
        <v>0</v>
      </c>
      <c r="R15" s="71">
        <f>SUMIF($C$3:$C14,$C14,R$3:R14)</f>
        <v>0</v>
      </c>
      <c r="S15" s="71">
        <f>SUMIF($C$3:$C14,$C14,S$3:S14)</f>
        <v>0</v>
      </c>
      <c r="T15" s="71">
        <f>SUMIF($C$3:$C14,$C14,T$3:T14)</f>
        <v>0</v>
      </c>
      <c r="U15" s="71">
        <f>SUMIF($C$3:$C14,$C14,U$3:U14)</f>
        <v>0</v>
      </c>
    </row>
    <row r="16" spans="1:21" ht="139" customHeight="1" x14ac:dyDescent="0.2"/>
    <row r="17" spans="6:14" ht="139" customHeight="1" x14ac:dyDescent="0.2">
      <c r="F17" s="143" t="s">
        <v>118</v>
      </c>
      <c r="G17" s="74" t="s">
        <v>263</v>
      </c>
      <c r="M17" s="143" t="s">
        <v>119</v>
      </c>
      <c r="N17" s="74" t="s">
        <v>264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841C-99B1-2944-9963-E2DDCA0EE564}">
  <dimension ref="A1:Q144"/>
  <sheetViews>
    <sheetView zoomScale="75" zoomScaleNormal="100" workbookViewId="0">
      <selection activeCell="K5" sqref="K5"/>
    </sheetView>
  </sheetViews>
  <sheetFormatPr baseColWidth="10" defaultRowHeight="15" x14ac:dyDescent="0.2"/>
  <cols>
    <col min="6" max="16" width="31.6640625" customWidth="1"/>
    <col min="17" max="17" width="22" customWidth="1"/>
  </cols>
  <sheetData>
    <row r="1" spans="1:16" ht="44" customHeight="1" x14ac:dyDescent="0.2">
      <c r="A1" s="207" t="s">
        <v>250</v>
      </c>
      <c r="B1" s="207"/>
      <c r="C1" s="207"/>
      <c r="D1" s="207"/>
      <c r="E1" s="119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6" x14ac:dyDescent="0.2">
      <c r="A2" s="120"/>
      <c r="B2" s="120"/>
      <c r="C2" s="120"/>
      <c r="D2" s="121"/>
      <c r="E2" s="122"/>
      <c r="F2" s="105" t="s">
        <v>36</v>
      </c>
      <c r="G2" s="105" t="s">
        <v>36</v>
      </c>
      <c r="H2" s="105" t="s">
        <v>36</v>
      </c>
      <c r="I2" s="105" t="s">
        <v>36</v>
      </c>
      <c r="J2" s="105" t="s">
        <v>36</v>
      </c>
      <c r="K2" s="105" t="s">
        <v>36</v>
      </c>
      <c r="L2" s="105" t="s">
        <v>36</v>
      </c>
      <c r="M2" s="105" t="s">
        <v>36</v>
      </c>
      <c r="N2" s="105" t="s">
        <v>36</v>
      </c>
      <c r="O2" s="105" t="s">
        <v>36</v>
      </c>
      <c r="P2" s="208" t="s">
        <v>138</v>
      </c>
    </row>
    <row r="3" spans="1:16" x14ac:dyDescent="0.2">
      <c r="A3" s="120"/>
      <c r="B3" s="120"/>
      <c r="C3" s="120"/>
      <c r="D3" s="121"/>
      <c r="E3" s="122"/>
      <c r="F3" s="105" t="s">
        <v>139</v>
      </c>
      <c r="G3" s="105" t="s">
        <v>141</v>
      </c>
      <c r="H3" s="105" t="s">
        <v>108</v>
      </c>
      <c r="I3" s="105" t="s">
        <v>76</v>
      </c>
      <c r="J3" s="105" t="s">
        <v>77</v>
      </c>
      <c r="K3" s="105" t="s">
        <v>140</v>
      </c>
      <c r="L3" s="105" t="s">
        <v>142</v>
      </c>
      <c r="M3" s="105" t="s">
        <v>143</v>
      </c>
      <c r="N3" s="105" t="s">
        <v>144</v>
      </c>
      <c r="O3" s="105" t="s">
        <v>145</v>
      </c>
      <c r="P3" s="208"/>
    </row>
    <row r="4" spans="1:16" ht="28" x14ac:dyDescent="0.2">
      <c r="A4" s="106" t="s">
        <v>75</v>
      </c>
      <c r="B4" s="106" t="s">
        <v>74</v>
      </c>
      <c r="C4" s="106" t="s">
        <v>32</v>
      </c>
      <c r="D4" s="107" t="s">
        <v>146</v>
      </c>
      <c r="E4" s="106" t="s">
        <v>72</v>
      </c>
      <c r="F4" s="108" t="s">
        <v>147</v>
      </c>
      <c r="G4" s="108" t="s">
        <v>150</v>
      </c>
      <c r="H4" s="108" t="s">
        <v>269</v>
      </c>
      <c r="I4" s="108" t="s">
        <v>148</v>
      </c>
      <c r="J4" s="108" t="s">
        <v>149</v>
      </c>
      <c r="K4" s="108" t="s">
        <v>270</v>
      </c>
      <c r="L4" s="108" t="s">
        <v>271</v>
      </c>
      <c r="M4" s="108" t="s">
        <v>272</v>
      </c>
      <c r="N4" s="108" t="s">
        <v>273</v>
      </c>
      <c r="O4" s="108" t="s">
        <v>274</v>
      </c>
      <c r="P4" s="208"/>
    </row>
    <row r="5" spans="1:16" ht="252" customHeight="1" x14ac:dyDescent="0.2">
      <c r="A5" s="109"/>
      <c r="B5" s="109"/>
      <c r="C5" s="109"/>
      <c r="D5" s="110" t="s">
        <v>59</v>
      </c>
      <c r="E5" s="111" t="s">
        <v>58</v>
      </c>
      <c r="F5" s="160" t="s">
        <v>152</v>
      </c>
      <c r="G5" s="160" t="s">
        <v>155</v>
      </c>
      <c r="H5" s="160" t="s">
        <v>151</v>
      </c>
      <c r="I5" s="160" t="s">
        <v>153</v>
      </c>
      <c r="J5" s="160" t="s">
        <v>154</v>
      </c>
      <c r="K5" s="161"/>
      <c r="L5" s="160"/>
      <c r="M5" s="160"/>
      <c r="N5" s="160"/>
      <c r="O5" s="160"/>
      <c r="P5" s="114">
        <f>SUMIF($G$2:O$2,O$2,$G5:O5)</f>
        <v>0</v>
      </c>
    </row>
    <row r="6" spans="1:16" ht="196" customHeight="1" x14ac:dyDescent="0.2">
      <c r="A6" s="109"/>
      <c r="B6" s="109"/>
      <c r="C6" s="109"/>
      <c r="D6" s="110" t="s">
        <v>57</v>
      </c>
      <c r="E6" s="111" t="s">
        <v>56</v>
      </c>
      <c r="F6" s="160" t="s">
        <v>156</v>
      </c>
      <c r="G6" s="160" t="s">
        <v>159</v>
      </c>
      <c r="H6" s="161"/>
      <c r="I6" s="160" t="s">
        <v>157</v>
      </c>
      <c r="J6" s="160" t="s">
        <v>158</v>
      </c>
      <c r="K6" s="160"/>
      <c r="L6" s="160"/>
      <c r="M6" s="160"/>
      <c r="N6" s="160"/>
      <c r="O6" s="160"/>
      <c r="P6" s="114">
        <f>SUMIF($G$2:O$2,O$2,$G6:O6)</f>
        <v>0</v>
      </c>
    </row>
    <row r="7" spans="1:16" ht="85" x14ac:dyDescent="0.2">
      <c r="A7" s="109"/>
      <c r="B7" s="109"/>
      <c r="C7" s="109"/>
      <c r="D7" s="110" t="s">
        <v>53</v>
      </c>
      <c r="E7" s="111" t="s">
        <v>52</v>
      </c>
      <c r="F7" s="160" t="s">
        <v>161</v>
      </c>
      <c r="G7" s="160" t="s">
        <v>164</v>
      </c>
      <c r="H7" s="160" t="s">
        <v>160</v>
      </c>
      <c r="I7" s="160" t="s">
        <v>162</v>
      </c>
      <c r="J7" s="160" t="s">
        <v>163</v>
      </c>
      <c r="K7" s="160"/>
      <c r="L7" s="160"/>
      <c r="M7" s="160"/>
      <c r="N7" s="160"/>
      <c r="O7" s="160"/>
      <c r="P7" s="114">
        <f>SUMIF($G$2:O$2,O$2,$G7:O7)</f>
        <v>0</v>
      </c>
    </row>
    <row r="8" spans="1:16" ht="224" customHeight="1" x14ac:dyDescent="0.2">
      <c r="A8" s="109"/>
      <c r="B8" s="109"/>
      <c r="C8" s="109"/>
      <c r="D8" s="110" t="s">
        <v>51</v>
      </c>
      <c r="E8" s="111" t="s">
        <v>50</v>
      </c>
      <c r="F8" s="160" t="s">
        <v>166</v>
      </c>
      <c r="G8" s="160" t="s">
        <v>169</v>
      </c>
      <c r="H8" s="160" t="s">
        <v>165</v>
      </c>
      <c r="I8" s="160" t="s">
        <v>167</v>
      </c>
      <c r="J8" s="160" t="s">
        <v>168</v>
      </c>
      <c r="K8" s="160"/>
      <c r="L8" s="160"/>
      <c r="M8" s="160"/>
      <c r="N8" s="160"/>
      <c r="O8" s="160"/>
      <c r="P8" s="114">
        <f>SUMIF($G$2:O$2,O$2,$G8:O8)</f>
        <v>0</v>
      </c>
    </row>
    <row r="9" spans="1:16" ht="56" customHeight="1" x14ac:dyDescent="0.2">
      <c r="A9" s="109"/>
      <c r="B9" s="109"/>
      <c r="C9" s="109"/>
      <c r="D9" s="110" t="s">
        <v>49</v>
      </c>
      <c r="E9" s="111" t="s">
        <v>48</v>
      </c>
      <c r="F9" s="160" t="s">
        <v>171</v>
      </c>
      <c r="G9" s="160" t="s">
        <v>174</v>
      </c>
      <c r="H9" s="160" t="s">
        <v>170</v>
      </c>
      <c r="I9" s="160" t="s">
        <v>172</v>
      </c>
      <c r="J9" s="160" t="s">
        <v>173</v>
      </c>
      <c r="K9" s="160"/>
      <c r="L9" s="160"/>
      <c r="M9" s="160"/>
      <c r="N9" s="160"/>
      <c r="O9" s="160"/>
      <c r="P9" s="114">
        <f>SUMIF($G$2:O$2,O$2,$G9:O9)</f>
        <v>0</v>
      </c>
    </row>
    <row r="10" spans="1:16" ht="85" x14ac:dyDescent="0.2">
      <c r="A10" s="109"/>
      <c r="B10" s="109"/>
      <c r="C10" s="109"/>
      <c r="D10" s="110" t="s">
        <v>47</v>
      </c>
      <c r="E10" s="111" t="s">
        <v>46</v>
      </c>
      <c r="F10" s="160" t="s">
        <v>176</v>
      </c>
      <c r="G10" s="160" t="s">
        <v>179</v>
      </c>
      <c r="H10" s="160" t="s">
        <v>175</v>
      </c>
      <c r="I10" s="160" t="s">
        <v>177</v>
      </c>
      <c r="J10" s="160" t="s">
        <v>178</v>
      </c>
      <c r="K10" s="160"/>
      <c r="L10" s="160"/>
      <c r="M10" s="160"/>
      <c r="N10" s="160"/>
      <c r="O10" s="160"/>
      <c r="P10" s="114">
        <f>SUMIF($G$2:O$2,O$2,$G10:O10)</f>
        <v>0</v>
      </c>
    </row>
    <row r="11" spans="1:16" ht="119" x14ac:dyDescent="0.2">
      <c r="A11" s="109"/>
      <c r="B11" s="109"/>
      <c r="C11" s="109"/>
      <c r="D11" s="110" t="s">
        <v>45</v>
      </c>
      <c r="E11" s="111" t="s">
        <v>44</v>
      </c>
      <c r="F11" s="160" t="s">
        <v>181</v>
      </c>
      <c r="G11" s="160" t="s">
        <v>184</v>
      </c>
      <c r="H11" s="160" t="s">
        <v>180</v>
      </c>
      <c r="I11" s="160" t="s">
        <v>182</v>
      </c>
      <c r="J11" s="160" t="s">
        <v>183</v>
      </c>
      <c r="K11" s="160"/>
      <c r="L11" s="160"/>
      <c r="M11" s="160"/>
      <c r="N11" s="160"/>
      <c r="O11" s="160"/>
      <c r="P11" s="114">
        <f>SUMIF($G$2:O$2,O$2,$G11:O11)</f>
        <v>0</v>
      </c>
    </row>
    <row r="12" spans="1:16" ht="136" customHeight="1" x14ac:dyDescent="0.2">
      <c r="A12" s="109"/>
      <c r="B12" s="109"/>
      <c r="C12" s="109"/>
      <c r="D12" s="110" t="s">
        <v>43</v>
      </c>
      <c r="E12" s="111" t="s">
        <v>42</v>
      </c>
      <c r="F12" s="160" t="s">
        <v>186</v>
      </c>
      <c r="G12" s="160" t="s">
        <v>189</v>
      </c>
      <c r="H12" s="160" t="s">
        <v>185</v>
      </c>
      <c r="I12" s="160" t="s">
        <v>187</v>
      </c>
      <c r="J12" s="160" t="s">
        <v>188</v>
      </c>
      <c r="K12" s="160"/>
      <c r="L12" s="160"/>
      <c r="M12" s="160"/>
      <c r="N12" s="160"/>
      <c r="O12" s="160"/>
      <c r="P12" s="114">
        <f>SUMIF($G$2:O$2,O$2,$G12:O12)</f>
        <v>0</v>
      </c>
    </row>
    <row r="13" spans="1:16" ht="28" x14ac:dyDescent="0.2">
      <c r="A13" s="123"/>
      <c r="B13" s="123"/>
      <c r="C13" s="124"/>
      <c r="D13" s="125"/>
      <c r="E13" s="115" t="s">
        <v>37</v>
      </c>
      <c r="F13" s="114">
        <f>SUMIF($C$5:$C12,$C12,F$5:F12)</f>
        <v>0</v>
      </c>
      <c r="G13" s="114">
        <f>SUMIF($C$5:$C12,$C12,G$5:G12)</f>
        <v>0</v>
      </c>
      <c r="H13" s="114">
        <f>SUMIF($C$5:$C12,$C12,H$5:H12)</f>
        <v>0</v>
      </c>
      <c r="I13" s="114">
        <f>SUMIF($C$5:$C12,$C12,I$5:I12)</f>
        <v>0</v>
      </c>
      <c r="J13" s="114">
        <f>SUMIF($C$5:$C12,$C12,J$5:J12)</f>
        <v>0</v>
      </c>
      <c r="K13" s="114">
        <f>SUMIF($C$5:$C12,$C12,K$5:K12)</f>
        <v>0</v>
      </c>
      <c r="L13" s="114">
        <f>SUMIF($C$5:$C12,$C12,L$5:L12)</f>
        <v>0</v>
      </c>
      <c r="M13" s="114">
        <f>SUMIF($C$5:$C12,$C12,M$5:M12)</f>
        <v>0</v>
      </c>
      <c r="N13" s="114">
        <f>SUMIF($C$5:$C12,$C12,N$5:N12)</f>
        <v>0</v>
      </c>
      <c r="O13" s="114">
        <f>SUMIF($C$5:$C12,$C12,O$5:O12)</f>
        <v>0</v>
      </c>
      <c r="P13" s="114">
        <f>SUMIF($C$5:$C12,$C12,P$5:P12)</f>
        <v>0</v>
      </c>
    </row>
    <row r="14" spans="1:16" ht="16" x14ac:dyDescent="0.2">
      <c r="A14" s="123"/>
      <c r="B14" s="123"/>
      <c r="C14" s="123"/>
      <c r="D14" s="125"/>
      <c r="E14" s="144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</row>
    <row r="136" spans="1:17" ht="16" x14ac:dyDescent="0.2">
      <c r="A136" s="146"/>
      <c r="B136" s="146"/>
      <c r="C136" s="146"/>
      <c r="D136" s="147"/>
      <c r="E136" s="148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</row>
    <row r="137" spans="1:17" ht="16" x14ac:dyDescent="0.2">
      <c r="A137" s="146"/>
      <c r="B137" s="146"/>
      <c r="C137" s="146"/>
      <c r="D137" s="147"/>
      <c r="E137" s="14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</row>
    <row r="138" spans="1:17" ht="16" x14ac:dyDescent="0.2">
      <c r="A138" s="146"/>
      <c r="B138" s="146"/>
      <c r="C138" s="146"/>
      <c r="D138" s="147"/>
      <c r="E138" s="148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</row>
    <row r="139" spans="1:17" ht="16" x14ac:dyDescent="0.2">
      <c r="A139" s="146"/>
      <c r="B139" s="146"/>
      <c r="C139" s="146"/>
      <c r="D139" s="147"/>
      <c r="E139" s="148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</row>
    <row r="140" spans="1:17" ht="16" x14ac:dyDescent="0.2">
      <c r="A140" s="146"/>
      <c r="B140" s="146"/>
      <c r="C140" s="146"/>
      <c r="D140" s="147"/>
      <c r="E140" s="148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</row>
    <row r="141" spans="1:17" ht="16" x14ac:dyDescent="0.2">
      <c r="A141" s="146"/>
      <c r="B141" s="146"/>
      <c r="C141" s="146"/>
      <c r="D141" s="147"/>
      <c r="E141" s="148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</row>
    <row r="142" spans="1:17" ht="16" x14ac:dyDescent="0.2">
      <c r="A142" s="146"/>
      <c r="B142" s="146"/>
      <c r="C142" s="146"/>
      <c r="D142" s="147"/>
      <c r="E142" s="148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</row>
    <row r="143" spans="1:17" ht="16" x14ac:dyDescent="0.2">
      <c r="A143" s="146"/>
      <c r="B143" s="146"/>
      <c r="C143" s="146"/>
      <c r="D143" s="147"/>
      <c r="E143" s="148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</row>
    <row r="144" spans="1:17" ht="16" x14ac:dyDescent="0.2">
      <c r="A144" s="146"/>
      <c r="B144" s="146"/>
      <c r="C144" s="146"/>
      <c r="D144" s="147"/>
      <c r="E144" s="148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</row>
  </sheetData>
  <mergeCells count="2">
    <mergeCell ref="A1:D1"/>
    <mergeCell ref="P2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ACCUEIL</vt:lpstr>
      <vt:lpstr>ETPT A-JUST</vt:lpstr>
      <vt:lpstr>ETPT Format DDG</vt:lpstr>
      <vt:lpstr>Synthèse ETPT</vt:lpstr>
      <vt:lpstr>ETPT Format DDG DETAIL</vt:lpstr>
      <vt:lpstr>codage tribunal</vt:lpstr>
      <vt:lpstr>Juridictions</vt:lpstr>
      <vt:lpstr>Table_Fonctions</vt:lpstr>
      <vt:lpstr>ETPT_CA_JUR</vt:lpstr>
      <vt:lpstr>ETPT_CA_JUR_DDG</vt:lpstr>
      <vt:lpstr>ETPT_CA_ATTJ</vt:lpstr>
      <vt:lpstr>ETPT_CA_ATTJ_DDG</vt:lpstr>
      <vt:lpstr>ETPT_CA_JUR Corresp</vt:lpstr>
      <vt:lpstr>ETPT_ATTACHES_JUSTICE Corresp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Extraction de données d'effectifs</dc:title>
  <dc:subject/>
  <dc:creator>A-JUST</dc:creator>
  <cp:keywords/>
  <dc:description>Ce fichier est généré sur la base des données saisies dans A-JUST</dc:description>
  <cp:lastModifiedBy>joseph dureau</cp:lastModifiedBy>
  <dcterms:created xsi:type="dcterms:W3CDTF">2020-03-26T00:32:42Z</dcterms:created>
  <dcterms:modified xsi:type="dcterms:W3CDTF">2026-03-06T08:17:54Z</dcterms:modified>
  <cp:category/>
</cp:coreProperties>
</file>