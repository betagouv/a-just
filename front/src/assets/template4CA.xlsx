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immychevallier/Documents/GitHub/a-just/front/src/assets/"/>
    </mc:Choice>
  </mc:AlternateContent>
  <xr:revisionPtr revIDLastSave="0" documentId="13_ncr:1_{7E5A390D-13F9-2443-8F5B-29F20861EFCC}" xr6:coauthVersionLast="47" xr6:coauthVersionMax="47" xr10:uidLastSave="{00000000-0000-0000-0000-000000000000}"/>
  <bookViews>
    <workbookView xWindow="0" yWindow="700" windowWidth="27040" windowHeight="1572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ATTACHES_JUSTICE" sheetId="41" state="hidden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3" l="1"/>
  <c r="K13" i="43"/>
  <c r="H3" i="41" a="1"/>
  <c r="H3" i="41" s="1"/>
  <c r="G3" i="41" a="1"/>
  <c r="G3" i="41" s="1"/>
  <c r="E3" i="41" a="1"/>
  <c r="E3" i="41" s="1"/>
  <c r="E4" i="41" a="1"/>
  <c r="E4" i="41" s="1"/>
  <c r="D3" i="41" a="1"/>
  <c r="D3" i="41" s="1"/>
  <c r="T12" i="30"/>
  <c r="T6" i="30"/>
  <c r="T5" i="30"/>
  <c r="N6" i="30"/>
  <c r="T4" i="30"/>
  <c r="N12" i="30"/>
  <c r="N4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I11" i="41"/>
  <c r="J11" i="41"/>
  <c r="K11" i="41"/>
  <c r="L11" i="41"/>
  <c r="M11" i="41"/>
  <c r="F4" i="42"/>
  <c r="I4" i="42"/>
  <c r="J4" i="42"/>
  <c r="K4" i="42"/>
  <c r="L4" i="42"/>
  <c r="M4" i="42"/>
  <c r="I5" i="42"/>
  <c r="J5" i="42"/>
  <c r="K5" i="42"/>
  <c r="L5" i="42"/>
  <c r="M5" i="42"/>
  <c r="I6" i="42"/>
  <c r="J6" i="42"/>
  <c r="K6" i="42"/>
  <c r="L6" i="42"/>
  <c r="M6" i="42"/>
  <c r="I7" i="42"/>
  <c r="J7" i="42"/>
  <c r="K7" i="42"/>
  <c r="L7" i="42"/>
  <c r="M7" i="42"/>
  <c r="I8" i="42"/>
  <c r="J8" i="42"/>
  <c r="K8" i="42"/>
  <c r="L8" i="42"/>
  <c r="M8" i="42"/>
  <c r="I9" i="42"/>
  <c r="J9" i="42"/>
  <c r="K9" i="42"/>
  <c r="L9" i="42"/>
  <c r="M9" i="42"/>
  <c r="I10" i="42"/>
  <c r="J10" i="42"/>
  <c r="K10" i="42"/>
  <c r="L10" i="42"/>
  <c r="M10" i="42"/>
  <c r="H3" i="42"/>
  <c r="I3" i="42"/>
  <c r="J3" i="42"/>
  <c r="K3" i="42"/>
  <c r="L3" i="42"/>
  <c r="M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H9" i="41"/>
  <c r="H8" i="41"/>
  <c r="E10" i="41" a="1"/>
  <c r="E10" i="41" s="1"/>
  <c r="H10" i="41"/>
  <c r="H10" i="42" s="1"/>
  <c r="G10" i="41"/>
  <c r="G9" i="41"/>
  <c r="G9" i="42" s="1"/>
  <c r="G5" i="41"/>
  <c r="G5" i="42" s="1"/>
  <c r="D10" i="41" a="1"/>
  <c r="D10" i="41" s="1"/>
  <c r="D9" i="41" a="1"/>
  <c r="D9" i="41" s="1"/>
  <c r="F10" i="41"/>
  <c r="F9" i="41"/>
  <c r="F9" i="42" s="1"/>
  <c r="D8" i="41" a="1"/>
  <c r="D8" i="41" s="1"/>
  <c r="F8" i="41"/>
  <c r="F8" i="42" s="1"/>
  <c r="G10" i="30"/>
  <c r="H10" i="30" s="1"/>
  <c r="H10" i="25" s="1"/>
  <c r="E7" i="41" a="1"/>
  <c r="E7" i="41" s="1"/>
  <c r="E7" i="42" s="1"/>
  <c r="H7" i="41"/>
  <c r="G8" i="41"/>
  <c r="G8" i="42" s="1"/>
  <c r="G7" i="41"/>
  <c r="G7" i="42" s="1"/>
  <c r="D7" i="41" a="1"/>
  <c r="D7" i="41" s="1"/>
  <c r="F7" i="41"/>
  <c r="F7" i="42" s="1"/>
  <c r="G9" i="30"/>
  <c r="H9" i="30" s="1"/>
  <c r="H9" i="25" s="1"/>
  <c r="E6" i="41" a="1"/>
  <c r="E6" i="41" s="1"/>
  <c r="E6" i="42" s="1"/>
  <c r="H6" i="41"/>
  <c r="G6" i="41"/>
  <c r="G6" i="42" s="1"/>
  <c r="D6" i="41" a="1"/>
  <c r="D6" i="41" s="1"/>
  <c r="F6" i="41"/>
  <c r="F6" i="42" s="1"/>
  <c r="G8" i="30"/>
  <c r="H8" i="30" s="1"/>
  <c r="H8" i="25" s="1"/>
  <c r="E5" i="41" a="1"/>
  <c r="E5" i="41" s="1"/>
  <c r="E5" i="42" s="1"/>
  <c r="H5" i="41"/>
  <c r="D5" i="41" a="1"/>
  <c r="D5" i="41" s="1"/>
  <c r="F5" i="41"/>
  <c r="F5" i="42" s="1"/>
  <c r="G7" i="30"/>
  <c r="H7" i="30" s="1"/>
  <c r="H7" i="25" s="1"/>
  <c r="D4" i="41" a="1"/>
  <c r="D4" i="41" s="1"/>
  <c r="G4" i="41" a="1"/>
  <c r="G4" i="41" s="1"/>
  <c r="G4" i="42" s="1"/>
  <c r="F3" i="41" a="1"/>
  <c r="F3" i="41" s="1"/>
  <c r="G6" i="30"/>
  <c r="H6" i="30" s="1"/>
  <c r="H6" i="25" s="1"/>
  <c r="E4" i="42"/>
  <c r="H4" i="41" a="1"/>
  <c r="H4" i="41" s="1"/>
  <c r="I14" i="30"/>
  <c r="N14" i="30" s="1"/>
  <c r="G3" i="30"/>
  <c r="M11" i="42"/>
  <c r="L11" i="42"/>
  <c r="K11" i="42"/>
  <c r="J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I12" i="30"/>
  <c r="I3" i="30"/>
  <c r="D9" i="42" l="1"/>
  <c r="N9" i="41"/>
  <c r="D4" i="42"/>
  <c r="N4" i="41"/>
  <c r="N4" i="42" s="1"/>
  <c r="D10" i="42"/>
  <c r="N10" i="41"/>
  <c r="N10" i="42" s="1"/>
  <c r="I15" i="30"/>
  <c r="I15" i="25" s="1"/>
  <c r="O3" i="30"/>
  <c r="S15" i="30"/>
  <c r="S15" i="25" s="1"/>
  <c r="U3" i="30"/>
  <c r="N7" i="41"/>
  <c r="N7" i="42" s="1"/>
  <c r="D7" i="42"/>
  <c r="G3" i="25"/>
  <c r="H3" i="30"/>
  <c r="D5" i="42"/>
  <c r="N5" i="41"/>
  <c r="N5" i="42" s="1"/>
  <c r="P15" i="30"/>
  <c r="P15" i="25" s="1"/>
  <c r="U4" i="30"/>
  <c r="U4" i="25" s="1"/>
  <c r="T15" i="30"/>
  <c r="T15" i="25" s="1"/>
  <c r="E11" i="41"/>
  <c r="E11" i="42" s="1"/>
  <c r="E3" i="42"/>
  <c r="H5" i="42"/>
  <c r="G10" i="42"/>
  <c r="D11" i="41"/>
  <c r="D11" i="42" s="1"/>
  <c r="N3" i="41"/>
  <c r="N3" i="42" s="1"/>
  <c r="D3" i="42"/>
  <c r="H7" i="42"/>
  <c r="D6" i="42"/>
  <c r="N6" i="41"/>
  <c r="N6" i="42" s="1"/>
  <c r="O4" i="30"/>
  <c r="O4" i="25" s="1"/>
  <c r="J15" i="30"/>
  <c r="J15" i="25" s="1"/>
  <c r="I11" i="42"/>
  <c r="E10" i="42"/>
  <c r="F3" i="42"/>
  <c r="F11" i="41"/>
  <c r="F11" i="42" s="1"/>
  <c r="G3" i="42"/>
  <c r="G11" i="41"/>
  <c r="G11" i="42" s="1"/>
  <c r="H11" i="41"/>
  <c r="H11" i="42" s="1"/>
  <c r="H4" i="42"/>
  <c r="H8" i="42"/>
  <c r="N9" i="42"/>
  <c r="H9" i="42"/>
  <c r="D8" i="42"/>
  <c r="N8" i="41"/>
  <c r="N8" i="42" s="1"/>
  <c r="H6" i="42"/>
  <c r="F10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N11" i="41"/>
  <c r="N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<sst xmlns="http://schemas.openxmlformats.org/spreadsheetml/2006/main" count="597" uniqueCount="337">
  <si>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</si>
  <si>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</si>
  <si>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</si>
  <si>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</si>
  <si>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</si>
  <si>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</si>
  <si>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</si>
  <si>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</si>
  <si>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</si>
  <si>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</si>
  <si>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</si>
  <si>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</si>
  <si>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</si>
  <si>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</si>
  <si>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</si>
  <si>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</si>
  <si>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</si>
  <si>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</si>
  <si>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</si>
  <si>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</si>
  <si>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</si>
  <si>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</si>
  <si>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</si>
  <si>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</si>
  <si>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</si>
  <si>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</si>
  <si>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</si>
  <si>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</si>
  <si>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</si>
  <si>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</si>
  <si>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</si>
  <si>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</si>
  <si>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</si>
  <si>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</si>
  <si>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</si>
  <si>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</si>
  <si>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</si>
  <si>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</si>
  <si>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</si>
  <si>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</si>
  <si>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</si>
  <si>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</si>
  <si>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</si>
  <si>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</si>
  <si>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</si>
  <si>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</si>
  <si>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</si>
  <si>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</si>
  <si>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</si>
  <si>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</si>
  <si>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</si>
  <si>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</si>
  <si>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</si>
  <si>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</si>
  <si>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</si>
  <si>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</si>
  <si>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</si>
  <si>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</si>
  <si>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</si>
  <si>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</si>
  <si>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</si>
  <si>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</si>
  <si>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</si>
  <si>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</si>
  <si>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</si>
  <si>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</si>
  <si>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</si>
  <si>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</si>
  <si>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</si>
  <si>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</si>
  <si>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</si>
  <si>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</si>
  <si>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</si>
  <si>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</si>
  <si>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</si>
  <si>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</si>
  <si>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</si>
  <si>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</si>
  <si>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</si>
  <si>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</si>
  <si>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</si>
  <si>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</si>
  <si>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</si>
  <si>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</si>
  <si>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</si>
  <si>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</si>
  <si>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</si>
  <si>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</si>
  <si>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</si>
  <si>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</si>
  <si>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</si>
  <si>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</si>
  <si>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</si>
  <si>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</si>
  <si>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</si>
  <si>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</si>
  <si>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</si>
  <si>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</si>
  <si>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</si>
  <si>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</si>
  <si>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</si>
  <si>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</si>
  <si>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</si>
  <si>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</si>
  <si>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</si>
  <si>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</si>
  <si>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</si>
  <si>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</si>
  <si>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</si>
  <si>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</si>
  <si>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</si>
  <si>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</si>
  <si>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</si>
  <si>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</si>
  <si>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</si>
  <si>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</si>
  <si>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</si>
  <si>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</si>
  <si>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</si>
  <si>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</si>
  <si>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</si>
  <si>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</si>
  <si>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</si>
  <si>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</si>
  <si>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</si>
  <si>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</si>
  <si>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</si>
  <si>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</si>
  <si>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</si>
  <si>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</si>
  <si>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</si>
  <si>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</si>
  <si>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</si>
  <si>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</si>
  <si>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</si>
  <si>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</si>
  <si>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</si>
  <si>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</si>
  <si>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</si>
  <si>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</si>
  <si>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</si>
  <si>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</si>
  <si>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</si>
  <si>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</si>
  <si>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</si>
  <si>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</si>
  <si>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</si>
  <si>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</si>
  <si>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</si>
  <si>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</si>
  <si>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</si>
  <si>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</si>
  <si>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</si>
  <si>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</si>
  <si>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</si>
  <si>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</si>
  <si>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</si>
  <si>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</si>
  <si>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</si>
  <si>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</si>
  <si>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</si>
  <si>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</si>
  <si>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</si>
  <si>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</si>
  <si>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</si>
  <si>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</si>
  <si>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</si>
  <si>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</si>
  <si>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</si>
  <si>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</si>
  <si>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</si>
  <si>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</si>
  <si>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</si>
  <si>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</si>
  <si>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</si>
  <si>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</si>
  <si>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</si>
  <si>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</si>
  <si>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</si>
  <si>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</si>
  <si>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</si>
  <si>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</si>
  <si>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</si>
  <si>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</si>
  <si>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</si>
  <si>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</si>
  <si>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</si>
  <si>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</si>
  <si>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</si>
  <si>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</si>
  <si>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</si>
  <si>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</si>
  <si>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</si>
  <si>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</si>
  <si>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</si>
  <si>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</si>
  <si>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</si>
  <si>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</si>
  <si>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</si>
  <si>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</si>
  <si>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</si>
  <si>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</si>
  <si>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</si>
  <si>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</si>
  <si>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</si>
  <si>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</si>
  <si>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</si>
  <si>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</si>
  <si>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</si>
  <si>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</si>
  <si>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</si>
  <si>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</si>
  <si>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</si>
  <si>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</si>
  <si>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</si>
  <si>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</si>
  <si>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</si>
  <si>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</si>
  <si>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</si>
  <si>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</si>
  <si>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</si>
  <si>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</si>
  <si>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</si>
  <si>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</si>
  <si>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</si>
  <si>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</si>
  <si>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</si>
  <si>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</si>
  <si>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</si>
  <si>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</si>
  <si>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</si>
  <si>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</si>
  <si>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</si>
  <si>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</si>
  <si>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</si>
  <si>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</si>
  <si>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</si>
  <si>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</si>
  <si>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</si>
  <si>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</si>
  <si>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</si>
  <si>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</si>
  <si>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</si>
  <si>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</si>
  <si>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</si>
  <si>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</si>
  <si>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</si>
  <si>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</si>
  <si>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</si>
  <si>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</si>
  <si>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</si>
  <si>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</si>
  <si>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</si>
  <si>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</si>
  <si>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</si>
  <si>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</si>
  <si>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</si>
  <si>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</si>
  <si>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chambres sociales (CA)</t>
  </si>
  <si>
    <t>Juristes assistants siège Autres</t>
  </si>
  <si>
    <t>Juristes assistants au parquet</t>
  </si>
  <si>
    <t>Juristes assistants Pôle social (TJ)</t>
  </si>
  <si>
    <t>Juristes assistants affectés aux JAP</t>
  </si>
  <si>
    <t>Juristes assistants affectés aux JE</t>
  </si>
  <si>
    <t>Juristes assistants affectés aux Juge d'instruction</t>
  </si>
  <si>
    <t>Juristes assistants affectés aux JLD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</si>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</sst>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169" fontId="45" fillId="14" borderId="11" xfId="1" applyNumberFormat="1" applyFont="1" applyFill="1" applyBorder="1" applyAlignment="1">
      <alignment vertical="center" wrapText="1"/>
    </xf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0" t="s">
        <v>85</v>
      </c>
      <c r="D1" s="180"/>
      <c r="E1" s="180"/>
      <c r="F1" s="49"/>
      <c r="H1" s="26" t="s">
        <v>0</v>
      </c>
    </row>
    <row r="2" spans="1:8" s="53" customFormat="1" ht="20" customHeight="1" x14ac:dyDescent="0.2">
      <c r="A2" s="50"/>
      <c r="B2" s="51"/>
      <c r="C2" s="181" t="s">
        <v>106</v>
      </c>
      <c r="D2" s="181"/>
      <c r="E2" s="181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5" t="s">
        <v>89</v>
      </c>
      <c r="F4" s="186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7" t="s">
        <v>100</v>
      </c>
      <c r="F5" s="188"/>
      <c r="G5" s="64"/>
      <c r="H5" s="26" t="s">
        <v>0</v>
      </c>
    </row>
    <row r="6" spans="1:8" s="26" customFormat="1" ht="48" customHeight="1" x14ac:dyDescent="0.2">
      <c r="A6" s="54"/>
      <c r="B6" s="163" t="s">
        <v>93</v>
      </c>
      <c r="C6" s="63" t="s">
        <v>94</v>
      </c>
      <c r="D6" s="63" t="s">
        <v>95</v>
      </c>
      <c r="E6" s="189" t="s">
        <v>101</v>
      </c>
      <c r="F6" s="190"/>
      <c r="G6" s="64"/>
      <c r="H6" s="26" t="s">
        <v>0</v>
      </c>
    </row>
    <row r="7" spans="1:8" s="26" customFormat="1" ht="48" customHeight="1" x14ac:dyDescent="0.2">
      <c r="A7" s="54"/>
      <c r="B7" s="164" t="s">
        <v>291</v>
      </c>
      <c r="C7" s="63" t="s">
        <v>283</v>
      </c>
      <c r="D7" s="63" t="s">
        <v>97</v>
      </c>
      <c r="E7" s="189" t="s">
        <v>100</v>
      </c>
      <c r="F7" s="190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8" t="s">
        <v>254</v>
      </c>
      <c r="D8" s="178" t="s">
        <v>98</v>
      </c>
      <c r="E8" s="191" t="s">
        <v>102</v>
      </c>
      <c r="F8" s="192"/>
      <c r="G8" s="64"/>
      <c r="H8" s="26" t="s">
        <v>0</v>
      </c>
    </row>
    <row r="9" spans="1:8" s="26" customFormat="1" ht="29" customHeight="1" thickBot="1" x14ac:dyDescent="0.25">
      <c r="A9" s="54"/>
      <c r="B9" s="165" t="s">
        <v>253</v>
      </c>
      <c r="C9" s="179"/>
      <c r="D9" s="179"/>
      <c r="E9" s="179"/>
      <c r="F9" s="179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4" t="s">
        <v>99</v>
      </c>
      <c r="D11" s="184"/>
      <c r="E11" s="184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2" t="s">
        <v>25</v>
      </c>
      <c r="B13" s="182"/>
      <c r="C13" s="182"/>
      <c r="D13" s="182"/>
      <c r="E13" s="182"/>
      <c r="F13" s="183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1"/>
      <c r="B1" s="131"/>
      <c r="C1" s="131"/>
      <c r="D1" s="193" t="s">
        <v>286</v>
      </c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32" t="s">
        <v>130</v>
      </c>
      <c r="S1" s="133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autoFilter ref="A2:DT2" xr:uid="{3B89445B-6ECC-4440-B85C-E593AE209933}"/>
  <mergeCells count="1">
    <mergeCell ref="D1:Q1"/>
  </mergeCells>
  <conditionalFormatting sqref="A2:EZ2 A3:FB1048576">
    <cfRule type="expression" dxfId="22" priority="2">
      <formula>AND(OR($R1&lt;&gt;0,$S1&lt;&gt;0,$T1&lt;&gt;0,ISBLANK($P1)),ROW()&gt;2,$A1&lt;&gt;"")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333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4" t="s">
        <v>26</v>
      </c>
      <c r="H4" s="195"/>
      <c r="I4" s="195"/>
      <c r="J4" s="195"/>
      <c r="K4" s="195"/>
      <c r="L4" s="196"/>
      <c r="M4" s="197"/>
      <c r="N4" s="198" t="s">
        <v>27</v>
      </c>
      <c r="O4" s="196"/>
      <c r="P4" s="196"/>
      <c r="Q4" s="196"/>
      <c r="R4" s="196"/>
      <c r="S4" s="196"/>
      <c r="T4" s="199"/>
      <c r="U4" s="194" t="s">
        <v>28</v>
      </c>
      <c r="V4" s="197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292</v>
      </c>
      <c r="B1" s="22" t="s">
        <v>293</v>
      </c>
      <c r="C1" s="22" t="s">
        <v>132</v>
      </c>
      <c r="D1" s="22" t="s">
        <v>294</v>
      </c>
      <c r="E1" s="22" t="s">
        <v>295</v>
      </c>
      <c r="F1" s="22"/>
      <c r="G1" s="167" t="s">
        <v>296</v>
      </c>
      <c r="H1" s="167" t="s">
        <v>297</v>
      </c>
      <c r="I1" s="168" t="s">
        <v>298</v>
      </c>
      <c r="J1" s="168" t="s">
        <v>299</v>
      </c>
      <c r="K1" s="168" t="s">
        <v>300</v>
      </c>
      <c r="L1" s="169" t="s">
        <v>301</v>
      </c>
      <c r="M1" s="22" t="s">
        <v>302</v>
      </c>
      <c r="N1" s="169" t="s">
        <v>303</v>
      </c>
      <c r="O1" s="170" t="s">
        <v>304</v>
      </c>
      <c r="P1" s="22" t="s">
        <v>305</v>
      </c>
      <c r="Q1" s="170" t="s">
        <v>306</v>
      </c>
      <c r="R1" s="170" t="s">
        <v>307</v>
      </c>
      <c r="S1" s="167" t="s">
        <v>308</v>
      </c>
      <c r="T1" s="167" t="s">
        <v>334</v>
      </c>
      <c r="U1" s="22" t="s">
        <v>336</v>
      </c>
      <c r="V1" s="172" t="s">
        <v>332</v>
      </c>
      <c r="W1" t="s">
        <v>309</v>
      </c>
    </row>
    <row r="2" spans="1:23" ht="18" customHeight="1" x14ac:dyDescent="0.2">
      <c r="A2" s="171" t="s">
        <v>310</v>
      </c>
      <c r="B2" s="171" t="s">
        <v>311</v>
      </c>
      <c r="C2" s="171" t="s">
        <v>312</v>
      </c>
      <c r="D2" s="171" t="s">
        <v>313</v>
      </c>
      <c r="E2" s="171" t="s">
        <v>314</v>
      </c>
      <c r="F2" s="171" t="s">
        <v>315</v>
      </c>
      <c r="G2" s="171" t="s">
        <v>316</v>
      </c>
      <c r="H2" s="171" t="s">
        <v>317</v>
      </c>
      <c r="I2" s="176" t="s">
        <v>318</v>
      </c>
      <c r="J2" s="176" t="s">
        <v>319</v>
      </c>
      <c r="K2" s="174" t="s">
        <v>320</v>
      </c>
      <c r="L2" s="174" t="s">
        <v>321</v>
      </c>
      <c r="M2" s="175" t="s">
        <v>322</v>
      </c>
      <c r="N2" s="177" t="s">
        <v>323</v>
      </c>
      <c r="O2" s="174" t="s">
        <v>324</v>
      </c>
      <c r="P2" s="174" t="s">
        <v>325</v>
      </c>
      <c r="Q2" s="174" t="s">
        <v>326</v>
      </c>
      <c r="R2" s="174" t="s">
        <v>327</v>
      </c>
      <c r="S2" s="174" t="s">
        <v>328</v>
      </c>
      <c r="T2" s="174" t="s">
        <v>335</v>
      </c>
      <c r="U2" s="174" t="s">
        <v>329</v>
      </c>
      <c r="V2" s="173" t="s">
        <v>330</v>
      </c>
      <c r="W2" t="s">
        <v>331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17" sqref="G17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267</v>
      </c>
      <c r="E3" s="96" t="s">
        <v>59</v>
      </c>
      <c r="F3" s="96" t="s">
        <v>58</v>
      </c>
      <c r="G3" s="136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7">
        <f>_xlfn.AGGREGATE(9,6,G3)</f>
        <v>0</v>
      </c>
      <c r="I3" s="143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6"/>
      <c r="K3" s="136"/>
      <c r="L3" s="136"/>
      <c r="M3" s="136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3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7">
        <f>_xlfn.AGGREGATE(9,6,I3:N3)</f>
        <v>0</v>
      </c>
      <c r="P3" s="136"/>
      <c r="Q3" s="136"/>
      <c r="R3" s="136"/>
      <c r="S3" s="136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3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7">
        <f>_xlfn.AGGREGATE(9,6,P3:T3)</f>
        <v>0</v>
      </c>
      <c r="V3" s="136"/>
      <c r="W3" s="136"/>
      <c r="X3" s="136"/>
      <c r="Y3" s="136"/>
      <c r="Z3" s="136"/>
      <c r="AA3" s="137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6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7">
        <f t="shared" ref="H4:H13" si="0">_xlfn.AGGREGATE(9,6,G4)</f>
        <v>0</v>
      </c>
      <c r="I4" s="143"/>
      <c r="J4" s="136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6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6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6"/>
      <c r="N4" s="143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7">
        <f t="shared" ref="O4:O14" si="1">_xlfn.AGGREGATE(9,6,I4:N4)</f>
        <v>0</v>
      </c>
      <c r="P4" s="136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6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6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6"/>
      <c r="T4" s="143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7">
        <f t="shared" ref="U4:U14" si="2">_xlfn.AGGREGATE(9,6,P4:T4)</f>
        <v>0</v>
      </c>
      <c r="V4" s="136"/>
      <c r="W4" s="136"/>
      <c r="X4" s="136"/>
      <c r="Y4" s="136"/>
      <c r="Z4" s="136"/>
      <c r="AA4" s="137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6"/>
      <c r="H5" s="137">
        <f t="shared" si="0"/>
        <v>0</v>
      </c>
      <c r="I5" s="136"/>
      <c r="J5" s="136"/>
      <c r="K5" s="136"/>
      <c r="L5" s="136"/>
      <c r="M5" s="136"/>
      <c r="N5" s="136"/>
      <c r="O5" s="137">
        <f t="shared" si="1"/>
        <v>0</v>
      </c>
      <c r="P5" s="136"/>
      <c r="Q5" s="136"/>
      <c r="R5" s="136"/>
      <c r="S5" s="136"/>
      <c r="T5" s="136" t="e">
        <f>SUM(SUMIFS(
INDEX( 'ETPT Format DDG'!$A:$ZZ,,MATCH("13.4 CSM",'ETPT Format DDG'!2:2,0)),
INDEX( 'ETPT Format DDG'!$A:$ZZ,,MATCH("Fonction recodée",'ETPT Format DDG'!2:2,0)),"Magistrat SIEGE"))</f>
        <v>#N/A</v>
      </c>
      <c r="U5" s="137">
        <f t="shared" si="2"/>
        <v>0</v>
      </c>
      <c r="V5" s="136"/>
      <c r="W5" s="136"/>
      <c r="X5" s="136"/>
      <c r="Y5" s="136"/>
      <c r="Z5" s="136"/>
      <c r="AA5" s="137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6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7">
        <f t="shared" si="0"/>
        <v>0</v>
      </c>
      <c r="I6" s="136"/>
      <c r="J6" s="136"/>
      <c r="K6" s="136"/>
      <c r="L6" s="136"/>
      <c r="M6" s="136"/>
      <c r="N6" s="136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7">
        <f t="shared" si="1"/>
        <v>0</v>
      </c>
      <c r="P6" s="136"/>
      <c r="Q6" s="136"/>
      <c r="R6" s="136"/>
      <c r="S6" s="136"/>
      <c r="T6" s="143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7">
        <f t="shared" si="2"/>
        <v>0</v>
      </c>
      <c r="V6" s="136"/>
      <c r="W6" s="136"/>
      <c r="X6" s="136"/>
      <c r="Y6" s="136"/>
      <c r="Z6" s="136"/>
      <c r="AA6" s="137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6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7">
        <f t="shared" si="0"/>
        <v>0</v>
      </c>
      <c r="I7" s="143"/>
      <c r="J7" s="136"/>
      <c r="K7" s="136"/>
      <c r="L7" s="136"/>
      <c r="M7" s="136"/>
      <c r="N7" s="136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7">
        <f t="shared" si="1"/>
        <v>0</v>
      </c>
      <c r="P7" s="136"/>
      <c r="Q7" s="136"/>
      <c r="R7" s="136"/>
      <c r="S7" s="136"/>
      <c r="T7" s="136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7">
        <f t="shared" si="2"/>
        <v>0</v>
      </c>
      <c r="V7" s="136"/>
      <c r="W7" s="136"/>
      <c r="X7" s="136"/>
      <c r="Y7" s="136"/>
      <c r="Z7" s="136"/>
      <c r="AA7" s="137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6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7">
        <f t="shared" si="0"/>
        <v>0</v>
      </c>
      <c r="I8" s="136"/>
      <c r="J8" s="136"/>
      <c r="K8" s="136"/>
      <c r="L8" s="136"/>
      <c r="M8" s="136"/>
      <c r="N8" s="136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7">
        <f t="shared" si="1"/>
        <v>0</v>
      </c>
      <c r="P8" s="136"/>
      <c r="Q8" s="136"/>
      <c r="R8" s="136"/>
      <c r="S8" s="136"/>
      <c r="T8" s="136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7">
        <f t="shared" si="2"/>
        <v>0</v>
      </c>
      <c r="V8" s="136"/>
      <c r="W8" s="136"/>
      <c r="X8" s="136"/>
      <c r="Y8" s="136"/>
      <c r="Z8" s="136"/>
      <c r="AA8" s="137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6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7">
        <f t="shared" si="0"/>
        <v>0</v>
      </c>
      <c r="I9" s="136"/>
      <c r="J9" s="136"/>
      <c r="K9" s="136"/>
      <c r="L9" s="136"/>
      <c r="M9" s="136"/>
      <c r="N9" s="136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7">
        <f t="shared" si="1"/>
        <v>0</v>
      </c>
      <c r="P9" s="136"/>
      <c r="Q9" s="136"/>
      <c r="R9" s="136"/>
      <c r="S9" s="136"/>
      <c r="T9" s="136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7">
        <f t="shared" si="2"/>
        <v>0</v>
      </c>
      <c r="V9" s="136"/>
      <c r="W9" s="136"/>
      <c r="X9" s="136"/>
      <c r="Y9" s="136"/>
      <c r="Z9" s="136"/>
      <c r="AA9" s="137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6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7">
        <f t="shared" si="0"/>
        <v>0</v>
      </c>
      <c r="I10" s="136"/>
      <c r="J10" s="136"/>
      <c r="K10" s="136"/>
      <c r="L10" s="136"/>
      <c r="M10" s="136"/>
      <c r="N10" s="136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7">
        <f t="shared" si="1"/>
        <v>0</v>
      </c>
      <c r="P10" s="136"/>
      <c r="Q10" s="136"/>
      <c r="R10" s="136"/>
      <c r="S10" s="136"/>
      <c r="T10" s="136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7">
        <f t="shared" si="2"/>
        <v>0</v>
      </c>
      <c r="V10" s="136"/>
      <c r="W10" s="136"/>
      <c r="X10" s="136"/>
      <c r="Y10" s="136"/>
      <c r="Z10" s="136"/>
      <c r="AA10" s="137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6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7">
        <f t="shared" si="0"/>
        <v>0</v>
      </c>
      <c r="I11" s="136"/>
      <c r="J11" s="136"/>
      <c r="K11" s="136"/>
      <c r="L11" s="136"/>
      <c r="M11" s="136"/>
      <c r="N11" s="136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7">
        <f t="shared" si="1"/>
        <v>0</v>
      </c>
      <c r="P11" s="136"/>
      <c r="Q11" s="136"/>
      <c r="R11" s="136"/>
      <c r="S11" s="136"/>
      <c r="T11" s="136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7">
        <f t="shared" si="2"/>
        <v>0</v>
      </c>
      <c r="V11" s="136"/>
      <c r="W11" s="136"/>
      <c r="X11" s="136"/>
      <c r="Y11" s="136"/>
      <c r="Z11" s="136"/>
      <c r="AA11" s="137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6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7">
        <f t="shared" si="0"/>
        <v>0</v>
      </c>
      <c r="I12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6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6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6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6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6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7">
        <f t="shared" si="1"/>
        <v>0</v>
      </c>
      <c r="P12" s="136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6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6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6" t="e">
        <f>SUM(SUMIFS(
INDEX( 'ETPT A-JUST'!$A:$ZZ,,MATCH("1. TOTAL CONTENTIEUX SOCIAL",'ETPT A-JUST'!2:2,0)),
INDEX( 'ETPT A-JUST'!$A:$ZZ,,MATCH("Fonction recodée",'ETPT A-JUST'!2:2,0)),"Magistrat placé ADD"))</f>
        <v>#N/A</v>
      </c>
      <c r="T12" s="136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7">
        <f t="shared" si="2"/>
        <v>0</v>
      </c>
      <c r="V12" s="136"/>
      <c r="W12" s="136"/>
      <c r="X12" s="136"/>
      <c r="Y12" s="136"/>
      <c r="Z12" s="136"/>
      <c r="AA12" s="137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6"/>
      <c r="H13" s="137">
        <f t="shared" si="0"/>
        <v>0</v>
      </c>
      <c r="I13" s="136"/>
      <c r="J13" s="136"/>
      <c r="K13" s="136"/>
      <c r="L13" s="136"/>
      <c r="M13" s="136"/>
      <c r="N13" s="136"/>
      <c r="O13" s="137">
        <f t="shared" si="1"/>
        <v>0</v>
      </c>
      <c r="P13" s="136"/>
      <c r="Q13" s="136"/>
      <c r="R13" s="136"/>
      <c r="S13" s="136"/>
      <c r="T13" s="136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7">
        <f t="shared" si="2"/>
        <v>0</v>
      </c>
      <c r="V13" s="136"/>
      <c r="W13" s="136"/>
      <c r="X13" s="136"/>
      <c r="Y13" s="136"/>
      <c r="Z13" s="136"/>
      <c r="AA13" s="137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6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7">
        <f>_xlfn.AGGREGATE(9,6,G14)</f>
        <v>0</v>
      </c>
      <c r="I14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6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6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6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6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6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7">
        <f t="shared" si="1"/>
        <v>0</v>
      </c>
      <c r="P14" s="136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6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6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6" t="e">
        <f>SUM(SUMIFS(
INDEX( 'ETPT A-JUST'!$A:$ZZ,,MATCH("1. TOTAL CONTENTIEUX SOCIAL",'ETPT A-JUST'!2:2,0)),
INDEX( 'ETPT A-JUST'!$A:$ZZ,,MATCH("Fonction recodée",'ETPT A-JUST'!2:2,0)),"Magistrat placé SUB"))</f>
        <v>#N/A</v>
      </c>
      <c r="T14" s="136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7">
        <f t="shared" si="2"/>
        <v>0</v>
      </c>
      <c r="V14" s="136"/>
      <c r="W14" s="136"/>
      <c r="X14" s="136"/>
      <c r="Y14" s="136"/>
      <c r="Z14" s="136"/>
      <c r="AA14" s="137">
        <f>_xlfn.AGGREGATE(9,6,V14:Z14)</f>
        <v>0</v>
      </c>
    </row>
    <row r="15" spans="1:58" x14ac:dyDescent="0.2">
      <c r="D15" s="39"/>
      <c r="E15" s="97"/>
      <c r="F15" s="98" t="s">
        <v>37</v>
      </c>
      <c r="G15" s="137">
        <f>_xlfn.AGGREGATE(9,6,G3:G14)</f>
        <v>0</v>
      </c>
      <c r="H15" s="137">
        <f>_xlfn.AGGREGATE(9,6,H3:H14)</f>
        <v>0</v>
      </c>
      <c r="I15" s="137">
        <f t="shared" ref="I15:Z15" si="5">_xlfn.AGGREGATE(9,6,I3:I14)</f>
        <v>0</v>
      </c>
      <c r="J15" s="137">
        <f t="shared" si="5"/>
        <v>0</v>
      </c>
      <c r="K15" s="137">
        <f t="shared" si="5"/>
        <v>0</v>
      </c>
      <c r="L15" s="137">
        <f t="shared" si="5"/>
        <v>0</v>
      </c>
      <c r="M15" s="137">
        <f t="shared" si="5"/>
        <v>0</v>
      </c>
      <c r="N15" s="137">
        <f t="shared" si="5"/>
        <v>0</v>
      </c>
      <c r="O15" s="137">
        <f t="shared" si="5"/>
        <v>0</v>
      </c>
      <c r="P15" s="137">
        <f t="shared" si="5"/>
        <v>0</v>
      </c>
      <c r="Q15" s="137">
        <f t="shared" si="5"/>
        <v>0</v>
      </c>
      <c r="R15" s="137">
        <f t="shared" si="5"/>
        <v>0</v>
      </c>
      <c r="S15" s="137">
        <f t="shared" si="5"/>
        <v>0</v>
      </c>
      <c r="T15" s="137">
        <f t="shared" si="5"/>
        <v>0</v>
      </c>
      <c r="U15" s="137">
        <f t="shared" si="5"/>
        <v>0</v>
      </c>
      <c r="V15" s="137">
        <f t="shared" si="5"/>
        <v>0</v>
      </c>
      <c r="W15" s="137">
        <f t="shared" si="5"/>
        <v>0</v>
      </c>
      <c r="X15" s="137">
        <f t="shared" si="5"/>
        <v>0</v>
      </c>
      <c r="Y15" s="137">
        <f t="shared" si="5"/>
        <v>0</v>
      </c>
      <c r="Z15" s="137">
        <f t="shared" si="5"/>
        <v>0</v>
      </c>
      <c r="AA15" s="137">
        <f>_xlfn.AGGREGATE(9,6,AA3:AA14)</f>
        <v>0</v>
      </c>
    </row>
    <row r="17" spans="1:14" customFormat="1" ht="102.5" customHeight="1" x14ac:dyDescent="0.2">
      <c r="A17" s="4"/>
      <c r="F17" s="166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0" t="s">
        <v>119</v>
      </c>
      <c r="J17" s="200"/>
      <c r="K17" s="200"/>
      <c r="L17" s="200"/>
      <c r="M17" s="201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D3" sqref="D3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273</v>
      </c>
      <c r="K2" s="99" t="s">
        <v>68</v>
      </c>
      <c r="L2" s="99" t="s">
        <v>274</v>
      </c>
      <c r="M2" s="99" t="s">
        <v>110</v>
      </c>
      <c r="N2" s="99" t="s">
        <v>67</v>
      </c>
      <c r="O2" s="100" t="s">
        <v>80</v>
      </c>
      <c r="P2" s="99" t="s">
        <v>275</v>
      </c>
      <c r="Q2" s="99" t="s">
        <v>65</v>
      </c>
      <c r="R2" s="99" t="s">
        <v>276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284</v>
      </c>
      <c r="X2" s="99" t="s">
        <v>285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50" t="s">
        <v>266</v>
      </c>
      <c r="E3" s="96" t="s">
        <v>59</v>
      </c>
      <c r="F3" s="96" t="s">
        <v>58</v>
      </c>
      <c r="G3" s="136" t="str">
        <f>IF(ISBLANK($D$3),"",IF(ISERROR(ETPT_CA_JUR!G3),"",IF(ETPT_CA_JUR!G3=0,"",ETPT_CA_JUR!G3)))</f>
        <v/>
      </c>
      <c r="H3" s="137">
        <f>ETPT_CA_JUR!H3</f>
        <v>0</v>
      </c>
      <c r="I3" s="136" t="str">
        <f>IF(ISBLANK($D$3),"",IF(ISERROR(ETPT_CA_JUR!I3),"",IF(ETPT_CA_JUR!I3=0,"",ETPT_CA_JUR!I3)))</f>
        <v/>
      </c>
      <c r="J3" s="136" t="str">
        <f>IF(ISBLANK($D$3),"",IF(ISERROR(ETPT_CA_JUR!J3),"",IF(ETPT_CA_JUR!J3=0,"",ETPT_CA_JUR!J3)))</f>
        <v/>
      </c>
      <c r="K3" s="136" t="str">
        <f>IF(ISBLANK($D$3),"",IF(ISERROR(ETPT_CA_JUR!K3),"",IF(ETPT_CA_JUR!K3=0,"",ETPT_CA_JUR!K3)))</f>
        <v/>
      </c>
      <c r="L3" s="136" t="str">
        <f>IF(ISBLANK($D$3),"",IF(ISERROR(ETPT_CA_JUR!L3),"",IF(ETPT_CA_JUR!L3=0,"",ETPT_CA_JUR!L3)))</f>
        <v/>
      </c>
      <c r="M3" s="136" t="str">
        <f>IF(ISBLANK($D$3),"",IF(ISERROR(ETPT_CA_JUR!M3),"",IF(ETPT_CA_JUR!M3=0,"",ETPT_CA_JUR!M3)))</f>
        <v/>
      </c>
      <c r="N3" s="136" t="str">
        <f>IF(ISBLANK($D$3),"",IF(ISERROR(ETPT_CA_JUR!N3),"",IF(ETPT_CA_JUR!N3=0,"",ETPT_CA_JUR!N3)))</f>
        <v/>
      </c>
      <c r="O3" s="137">
        <f>ETPT_CA_JUR!O3</f>
        <v>0</v>
      </c>
      <c r="P3" s="136" t="str">
        <f>IF(ISBLANK($D$3),"",IF(ISERROR(ETPT_CA_JUR!P3),"",IF(ETPT_CA_JUR!P3=0,"",ETPT_CA_JUR!P3)))</f>
        <v/>
      </c>
      <c r="Q3" s="136" t="str">
        <f>IF(ISBLANK($D$3),"",IF(ISERROR(ETPT_CA_JUR!Q3),"",IF(ETPT_CA_JUR!Q3=0,"",ETPT_CA_JUR!Q3)))</f>
        <v/>
      </c>
      <c r="R3" s="136" t="str">
        <f>IF(ISBLANK($D$3),"",IF(ISERROR(ETPT_CA_JUR!R3),"",IF(ETPT_CA_JUR!R3=0,"",ETPT_CA_JUR!R3)))</f>
        <v/>
      </c>
      <c r="S3" s="136" t="str">
        <f>IF(ISBLANK($D$3),"",IF(ISERROR(ETPT_CA_JUR!S3),"",IF(ETPT_CA_JUR!S3=0,"",ETPT_CA_JUR!S3)))</f>
        <v/>
      </c>
      <c r="T3" s="136" t="str">
        <f>IF(ISBLANK($D$3),"",IF(ISERROR(ETPT_CA_JUR!T3),"",IF(ETPT_CA_JUR!T3=0,"",ETPT_CA_JUR!T3)))</f>
        <v/>
      </c>
      <c r="U3" s="137">
        <f>ETPT_CA_JUR!U3</f>
        <v>0</v>
      </c>
      <c r="V3" s="136" t="str">
        <f>IF(ISBLANK($D$3),"",IF(ISERROR(ETPT_CA_JUR!V3),"",IF(ETPT_CA_JUR!V3=0,"",ETPT_CA_JUR!V3)))</f>
        <v/>
      </c>
      <c r="W3" s="136" t="str">
        <f>IF(ISBLANK($D$3),"",IF(ISERROR(ETPT_CA_JUR!W3),"",IF(ETPT_CA_JUR!W3=0,"",ETPT_CA_JUR!W3)))</f>
        <v/>
      </c>
      <c r="X3" s="136" t="str">
        <f>IF(ISBLANK($D$3),"",IF(ISERROR(ETPT_CA_JUR!X3),"",IF(ETPT_CA_JUR!X3=0,"",ETPT_CA_JUR!X3)))</f>
        <v/>
      </c>
      <c r="Y3" s="136" t="str">
        <f>IF(ISBLANK($D$3),"",IF(ISERROR(ETPT_CA_JUR!Y3),"",IF(ETPT_CA_JUR!Y3=0,"",ETPT_CA_JUR!Y3)))</f>
        <v/>
      </c>
      <c r="Z3" s="136" t="str">
        <f>IF(ISBLANK($D$3),"",IF(ISERROR(ETPT_CA_JUR!Z3),"",IF(ETPT_CA_JUR!Z3=0,"",ETPT_CA_JUR!Z3)))</f>
        <v/>
      </c>
      <c r="AA3" s="137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6" t="str">
        <f>IF(ISBLANK($D$3),"",IF(ISERROR(ETPT_CA_JUR!G4),"",IF(ETPT_CA_JUR!G4=0,"",ETPT_CA_JUR!G4)))</f>
        <v/>
      </c>
      <c r="H4" s="137">
        <f>ETPT_CA_JUR!H4</f>
        <v>0</v>
      </c>
      <c r="I4" s="136" t="str">
        <f>IF(ISBLANK($D$3),"",IF(ISERROR(ETPT_CA_JUR!I4),"",IF(ETPT_CA_JUR!I4=0,"",ETPT_CA_JUR!I4)))</f>
        <v/>
      </c>
      <c r="J4" s="136" t="str">
        <f>IF(ISBLANK($D$3),"",IF(ISERROR(ETPT_CA_JUR!J4),"",IF(ETPT_CA_JUR!J4=0,"",ETPT_CA_JUR!J4)))</f>
        <v/>
      </c>
      <c r="K4" s="136" t="str">
        <f>IF(ISBLANK($D$3),"",IF(ISERROR(ETPT_CA_JUR!K4),"",IF(ETPT_CA_JUR!K4=0,"",ETPT_CA_JUR!K4)))</f>
        <v/>
      </c>
      <c r="L4" s="136" t="str">
        <f>IF(ISBLANK($D$3),"",IF(ISERROR(ETPT_CA_JUR!L4),"",IF(ETPT_CA_JUR!L4=0,"",ETPT_CA_JUR!L4)))</f>
        <v/>
      </c>
      <c r="M4" s="136" t="str">
        <f>IF(ISBLANK($D$3),"",IF(ISERROR(ETPT_CA_JUR!M4),"",IF(ETPT_CA_JUR!M4=0,"",ETPT_CA_JUR!M4)))</f>
        <v/>
      </c>
      <c r="N4" s="136" t="str">
        <f>IF(ISBLANK($D$3),"",IF(ISERROR(ETPT_CA_JUR!N4),"",IF(ETPT_CA_JUR!N4=0,"",ETPT_CA_JUR!N4)))</f>
        <v/>
      </c>
      <c r="O4" s="137">
        <f>ETPT_CA_JUR!O4</f>
        <v>0</v>
      </c>
      <c r="P4" s="136" t="str">
        <f>IF(ISBLANK($D$3),"",IF(ISERROR(ETPT_CA_JUR!P4),"",IF(ETPT_CA_JUR!P4=0,"",ETPT_CA_JUR!P4)))</f>
        <v/>
      </c>
      <c r="Q4" s="136" t="str">
        <f>IF(ISBLANK($D$3),"",IF(ISERROR(ETPT_CA_JUR!Q4),"",IF(ETPT_CA_JUR!Q4=0,"",ETPT_CA_JUR!Q4)))</f>
        <v/>
      </c>
      <c r="R4" s="136" t="str">
        <f>IF(ISBLANK($D$3),"",IF(ISERROR(ETPT_CA_JUR!R4),"",IF(ETPT_CA_JUR!R4=0,"",ETPT_CA_JUR!R4)))</f>
        <v/>
      </c>
      <c r="S4" s="136" t="str">
        <f>IF(ISBLANK($D$3),"",IF(ISERROR(ETPT_CA_JUR!S4),"",IF(ETPT_CA_JUR!S4=0,"",ETPT_CA_JUR!S4)))</f>
        <v/>
      </c>
      <c r="T4" s="136" t="str">
        <f>IF(ISBLANK($D$3),"",IF(ISERROR(ETPT_CA_JUR!T4),"",IF(ETPT_CA_JUR!T4=0,"",ETPT_CA_JUR!T4)))</f>
        <v/>
      </c>
      <c r="U4" s="137">
        <f>ETPT_CA_JUR!U4</f>
        <v>0</v>
      </c>
      <c r="V4" s="136" t="str">
        <f>IF(ISBLANK($D$3),"",IF(ISERROR(ETPT_CA_JUR!V4),"",IF(ETPT_CA_JUR!V4=0,"",ETPT_CA_JUR!V4)))</f>
        <v/>
      </c>
      <c r="W4" s="136" t="str">
        <f>IF(ISBLANK($D$3),"",IF(ISERROR(ETPT_CA_JUR!W4),"",IF(ETPT_CA_JUR!W4=0,"",ETPT_CA_JUR!W4)))</f>
        <v/>
      </c>
      <c r="X4" s="136" t="str">
        <f>IF(ISBLANK($D$3),"",IF(ISERROR(ETPT_CA_JUR!X4),"",IF(ETPT_CA_JUR!X4=0,"",ETPT_CA_JUR!X4)))</f>
        <v/>
      </c>
      <c r="Y4" s="136" t="str">
        <f>IF(ISBLANK($D$3),"",IF(ISERROR(ETPT_CA_JUR!Y4),"",IF(ETPT_CA_JUR!Y4=0,"",ETPT_CA_JUR!Y4)))</f>
        <v/>
      </c>
      <c r="Z4" s="136" t="str">
        <f>IF(ISBLANK($D$3),"",IF(ISERROR(ETPT_CA_JUR!Z4),"",IF(ETPT_CA_JUR!Z4=0,"",ETPT_CA_JUR!Z4)))</f>
        <v/>
      </c>
      <c r="AA4" s="137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6" t="str">
        <f>IF(ISBLANK($D$3),"",IF(ISERROR(ETPT_CA_JUR!G5),"",IF(ETPT_CA_JUR!G5=0,"",ETPT_CA_JUR!G5)))</f>
        <v/>
      </c>
      <c r="H5" s="137">
        <f>ETPT_CA_JUR!H5</f>
        <v>0</v>
      </c>
      <c r="I5" s="136" t="str">
        <f>IF(ISBLANK($D$3),"",IF(ISERROR(ETPT_CA_JUR!I5),"",IF(ETPT_CA_JUR!I5=0,"",ETPT_CA_JUR!I5)))</f>
        <v/>
      </c>
      <c r="J5" s="136" t="str">
        <f>IF(ISBLANK($D$3),"",IF(ISERROR(ETPT_CA_JUR!J5),"",IF(ETPT_CA_JUR!J5=0,"",ETPT_CA_JUR!J5)))</f>
        <v/>
      </c>
      <c r="K5" s="136" t="str">
        <f>IF(ISBLANK($D$3),"",IF(ISERROR(ETPT_CA_JUR!K5),"",IF(ETPT_CA_JUR!K5=0,"",ETPT_CA_JUR!K5)))</f>
        <v/>
      </c>
      <c r="L5" s="136" t="str">
        <f>IF(ISBLANK($D$3),"",IF(ISERROR(ETPT_CA_JUR!L5),"",IF(ETPT_CA_JUR!L5=0,"",ETPT_CA_JUR!L5)))</f>
        <v/>
      </c>
      <c r="M5" s="136" t="str">
        <f>IF(ISBLANK($D$3),"",IF(ISERROR(ETPT_CA_JUR!M5),"",IF(ETPT_CA_JUR!M5=0,"",ETPT_CA_JUR!M5)))</f>
        <v/>
      </c>
      <c r="N5" s="136" t="str">
        <f>IF(ISBLANK($D$3),"",IF(ISERROR(ETPT_CA_JUR!N5),"",IF(ETPT_CA_JUR!N5=0,"",ETPT_CA_JUR!N5)))</f>
        <v/>
      </c>
      <c r="O5" s="137">
        <f>ETPT_CA_JUR!O5</f>
        <v>0</v>
      </c>
      <c r="P5" s="136" t="str">
        <f>IF(ISBLANK($D$3),"",IF(ISERROR(ETPT_CA_JUR!P5),"",IF(ETPT_CA_JUR!P5=0,"",ETPT_CA_JUR!P5)))</f>
        <v/>
      </c>
      <c r="Q5" s="136" t="str">
        <f>IF(ISBLANK($D$3),"",IF(ISERROR(ETPT_CA_JUR!Q5),"",IF(ETPT_CA_JUR!Q5=0,"",ETPT_CA_JUR!Q5)))</f>
        <v/>
      </c>
      <c r="R5" s="136" t="str">
        <f>IF(ISBLANK($D$3),"",IF(ISERROR(ETPT_CA_JUR!R5),"",IF(ETPT_CA_JUR!R5=0,"",ETPT_CA_JUR!R5)))</f>
        <v/>
      </c>
      <c r="S5" s="136" t="str">
        <f>IF(ISBLANK($D$3),"",IF(ISERROR(ETPT_CA_JUR!S5),"",IF(ETPT_CA_JUR!S5=0,"",ETPT_CA_JUR!S5)))</f>
        <v/>
      </c>
      <c r="T5" s="136" t="str">
        <f>IF(ISBLANK($D$3),"",IF(ISERROR(ETPT_CA_JUR!T5),"",IF(ETPT_CA_JUR!T5=0,"",ETPT_CA_JUR!T5)))</f>
        <v/>
      </c>
      <c r="U5" s="137">
        <f>ETPT_CA_JUR!U5</f>
        <v>0</v>
      </c>
      <c r="V5" s="136" t="str">
        <f>IF(ISBLANK($D$3),"",IF(ISERROR(ETPT_CA_JUR!V5),"",IF(ETPT_CA_JUR!V5=0,"",ETPT_CA_JUR!V5)))</f>
        <v/>
      </c>
      <c r="W5" s="136" t="str">
        <f>IF(ISBLANK($D$3),"",IF(ISERROR(ETPT_CA_JUR!W5),"",IF(ETPT_CA_JUR!W5=0,"",ETPT_CA_JUR!W5)))</f>
        <v/>
      </c>
      <c r="X5" s="136" t="str">
        <f>IF(ISBLANK($D$3),"",IF(ISERROR(ETPT_CA_JUR!X5),"",IF(ETPT_CA_JUR!X5=0,"",ETPT_CA_JUR!X5)))</f>
        <v/>
      </c>
      <c r="Y5" s="136" t="str">
        <f>IF(ISBLANK($D$3),"",IF(ISERROR(ETPT_CA_JUR!Y5),"",IF(ETPT_CA_JUR!Y5=0,"",ETPT_CA_JUR!Y5)))</f>
        <v/>
      </c>
      <c r="Z5" s="136" t="str">
        <f>IF(ISBLANK($D$3),"",IF(ISERROR(ETPT_CA_JUR!Z5),"",IF(ETPT_CA_JUR!Z5=0,"",ETPT_CA_JUR!Z5)))</f>
        <v/>
      </c>
      <c r="AA5" s="137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6" t="str">
        <f>IF(ISBLANK($D$3),"",IF(ISERROR(ETPT_CA_JUR!G6),"",IF(ETPT_CA_JUR!G6=0,"",ETPT_CA_JUR!G6)))</f>
        <v/>
      </c>
      <c r="H6" s="137">
        <f>ETPT_CA_JUR!H6</f>
        <v>0</v>
      </c>
      <c r="I6" s="136" t="str">
        <f>IF(ISBLANK($D$3),"",IF(ISERROR(ETPT_CA_JUR!I6),"",IF(ETPT_CA_JUR!I6=0,"",ETPT_CA_JUR!I6)))</f>
        <v/>
      </c>
      <c r="J6" s="136" t="str">
        <f>IF(ISBLANK($D$3),"",IF(ISERROR(ETPT_CA_JUR!J6),"",IF(ETPT_CA_JUR!J6=0,"",ETPT_CA_JUR!J6)))</f>
        <v/>
      </c>
      <c r="K6" s="136" t="str">
        <f>IF(ISBLANK($D$3),"",IF(ISERROR(ETPT_CA_JUR!K6),"",IF(ETPT_CA_JUR!K6=0,"",ETPT_CA_JUR!K6)))</f>
        <v/>
      </c>
      <c r="L6" s="136" t="str">
        <f>IF(ISBLANK($D$3),"",IF(ISERROR(ETPT_CA_JUR!L6),"",IF(ETPT_CA_JUR!L6=0,"",ETPT_CA_JUR!L6)))</f>
        <v/>
      </c>
      <c r="M6" s="136" t="str">
        <f>IF(ISBLANK($D$3),"",IF(ISERROR(ETPT_CA_JUR!M6),"",IF(ETPT_CA_JUR!M6=0,"",ETPT_CA_JUR!M6)))</f>
        <v/>
      </c>
      <c r="N6" s="136" t="str">
        <f>IF(ISBLANK($D$3),"",IF(ISERROR(ETPT_CA_JUR!N6),"",IF(ETPT_CA_JUR!N6=0,"",ETPT_CA_JUR!N6)))</f>
        <v/>
      </c>
      <c r="O6" s="137">
        <f>ETPT_CA_JUR!O6</f>
        <v>0</v>
      </c>
      <c r="P6" s="136" t="str">
        <f>IF(ISBLANK($D$3),"",IF(ISERROR(ETPT_CA_JUR!P6),"",IF(ETPT_CA_JUR!P6=0,"",ETPT_CA_JUR!P6)))</f>
        <v/>
      </c>
      <c r="Q6" s="136" t="str">
        <f>IF(ISBLANK($D$3),"",IF(ISERROR(ETPT_CA_JUR!Q6),"",IF(ETPT_CA_JUR!Q6=0,"",ETPT_CA_JUR!Q6)))</f>
        <v/>
      </c>
      <c r="R6" s="136" t="str">
        <f>IF(ISBLANK($D$3),"",IF(ISERROR(ETPT_CA_JUR!R6),"",IF(ETPT_CA_JUR!R6=0,"",ETPT_CA_JUR!R6)))</f>
        <v/>
      </c>
      <c r="S6" s="136" t="str">
        <f>IF(ISBLANK($D$3),"",IF(ISERROR(ETPT_CA_JUR!S6),"",IF(ETPT_CA_JUR!S6=0,"",ETPT_CA_JUR!S6)))</f>
        <v/>
      </c>
      <c r="T6" s="136" t="str">
        <f>IF(ISBLANK($D$3),"",IF(ISERROR(ETPT_CA_JUR!T6),"",IF(ETPT_CA_JUR!T6=0,"",ETPT_CA_JUR!T6)))</f>
        <v/>
      </c>
      <c r="U6" s="137">
        <f>ETPT_CA_JUR!U6</f>
        <v>0</v>
      </c>
      <c r="V6" s="136" t="str">
        <f>IF(ISBLANK($D$3),"",IF(ISERROR(ETPT_CA_JUR!V6),"",IF(ETPT_CA_JUR!V6=0,"",ETPT_CA_JUR!V6)))</f>
        <v/>
      </c>
      <c r="W6" s="136" t="str">
        <f>IF(ISBLANK($D$3),"",IF(ISERROR(ETPT_CA_JUR!W6),"",IF(ETPT_CA_JUR!W6=0,"",ETPT_CA_JUR!W6)))</f>
        <v/>
      </c>
      <c r="X6" s="136" t="str">
        <f>IF(ISBLANK($D$3),"",IF(ISERROR(ETPT_CA_JUR!X6),"",IF(ETPT_CA_JUR!X6=0,"",ETPT_CA_JUR!X6)))</f>
        <v/>
      </c>
      <c r="Y6" s="136" t="str">
        <f>IF(ISBLANK($D$3),"",IF(ISERROR(ETPT_CA_JUR!Y6),"",IF(ETPT_CA_JUR!Y6=0,"",ETPT_CA_JUR!Y6)))</f>
        <v/>
      </c>
      <c r="Z6" s="136" t="str">
        <f>IF(ISBLANK($D$3),"",IF(ISERROR(ETPT_CA_JUR!Z6),"",IF(ETPT_CA_JUR!Z6=0,"",ETPT_CA_JUR!Z6)))</f>
        <v/>
      </c>
      <c r="AA6" s="137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6" t="str">
        <f>IF(ISBLANK($D$3),"",IF(ISERROR(ETPT_CA_JUR!G7),"",IF(ETPT_CA_JUR!G7=0,"",ETPT_CA_JUR!G7)))</f>
        <v/>
      </c>
      <c r="H7" s="137">
        <f>ETPT_CA_JUR!H7</f>
        <v>0</v>
      </c>
      <c r="I7" s="136" t="str">
        <f>IF(ISBLANK($D$3),"",IF(ISERROR(ETPT_CA_JUR!I7),"",IF(ETPT_CA_JUR!I7=0,"",ETPT_CA_JUR!I7)))</f>
        <v/>
      </c>
      <c r="J7" s="136" t="str">
        <f>IF(ISBLANK($D$3),"",IF(ISERROR(ETPT_CA_JUR!J7),"",IF(ETPT_CA_JUR!J7=0,"",ETPT_CA_JUR!J7)))</f>
        <v/>
      </c>
      <c r="K7" s="136" t="str">
        <f>IF(ISBLANK($D$3),"",IF(ISERROR(ETPT_CA_JUR!K7),"",IF(ETPT_CA_JUR!K7=0,"",ETPT_CA_JUR!K7)))</f>
        <v/>
      </c>
      <c r="L7" s="136" t="str">
        <f>IF(ISBLANK($D$3),"",IF(ISERROR(ETPT_CA_JUR!L7),"",IF(ETPT_CA_JUR!L7=0,"",ETPT_CA_JUR!L7)))</f>
        <v/>
      </c>
      <c r="M7" s="136" t="str">
        <f>IF(ISBLANK($D$3),"",IF(ISERROR(ETPT_CA_JUR!M7),"",IF(ETPT_CA_JUR!M7=0,"",ETPT_CA_JUR!M7)))</f>
        <v/>
      </c>
      <c r="N7" s="136" t="str">
        <f>IF(ISBLANK($D$3),"",IF(ISERROR(ETPT_CA_JUR!N7),"",IF(ETPT_CA_JUR!N7=0,"",ETPT_CA_JUR!N7)))</f>
        <v/>
      </c>
      <c r="O7" s="137">
        <f>ETPT_CA_JUR!O7</f>
        <v>0</v>
      </c>
      <c r="P7" s="136" t="str">
        <f>IF(ISBLANK($D$3),"",IF(ISERROR(ETPT_CA_JUR!P7),"",IF(ETPT_CA_JUR!P7=0,"",ETPT_CA_JUR!P7)))</f>
        <v/>
      </c>
      <c r="Q7" s="136" t="str">
        <f>IF(ISBLANK($D$3),"",IF(ISERROR(ETPT_CA_JUR!Q7),"",IF(ETPT_CA_JUR!Q7=0,"",ETPT_CA_JUR!Q7)))</f>
        <v/>
      </c>
      <c r="R7" s="136" t="str">
        <f>IF(ISBLANK($D$3),"",IF(ISERROR(ETPT_CA_JUR!R7),"",IF(ETPT_CA_JUR!R7=0,"",ETPT_CA_JUR!R7)))</f>
        <v/>
      </c>
      <c r="S7" s="136" t="str">
        <f>IF(ISBLANK($D$3),"",IF(ISERROR(ETPT_CA_JUR!S7),"",IF(ETPT_CA_JUR!S7=0,"",ETPT_CA_JUR!S7)))</f>
        <v/>
      </c>
      <c r="T7" s="136" t="str">
        <f>IF(ISBLANK($D$3),"",IF(ISERROR(ETPT_CA_JUR!T7),"",IF(ETPT_CA_JUR!T7=0,"",ETPT_CA_JUR!T7)))</f>
        <v/>
      </c>
      <c r="U7" s="137">
        <f>ETPT_CA_JUR!U7</f>
        <v>0</v>
      </c>
      <c r="V7" s="136" t="str">
        <f>IF(ISBLANK($D$3),"",IF(ISERROR(ETPT_CA_JUR!V7),"",IF(ETPT_CA_JUR!V7=0,"",ETPT_CA_JUR!V7)))</f>
        <v/>
      </c>
      <c r="W7" s="136" t="str">
        <f>IF(ISBLANK($D$3),"",IF(ISERROR(ETPT_CA_JUR!W7),"",IF(ETPT_CA_JUR!W7=0,"",ETPT_CA_JUR!W7)))</f>
        <v/>
      </c>
      <c r="X7" s="136" t="str">
        <f>IF(ISBLANK($D$3),"",IF(ISERROR(ETPT_CA_JUR!X7),"",IF(ETPT_CA_JUR!X7=0,"",ETPT_CA_JUR!X7)))</f>
        <v/>
      </c>
      <c r="Y7" s="136" t="str">
        <f>IF(ISBLANK($D$3),"",IF(ISERROR(ETPT_CA_JUR!Y7),"",IF(ETPT_CA_JUR!Y7=0,"",ETPT_CA_JUR!Y7)))</f>
        <v/>
      </c>
      <c r="Z7" s="136" t="str">
        <f>IF(ISBLANK($D$3),"",IF(ISERROR(ETPT_CA_JUR!Z7),"",IF(ETPT_CA_JUR!Z7=0,"",ETPT_CA_JUR!Z7)))</f>
        <v/>
      </c>
      <c r="AA7" s="137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6" t="str">
        <f>IF(ISBLANK($D$3),"",IF(ISERROR(ETPT_CA_JUR!G8),"",IF(ETPT_CA_JUR!G8=0,"",ETPT_CA_JUR!G8)))</f>
        <v/>
      </c>
      <c r="H8" s="137">
        <f>ETPT_CA_JUR!H8</f>
        <v>0</v>
      </c>
      <c r="I8" s="136" t="str">
        <f>IF(ISBLANK($D$3),"",IF(ISERROR(ETPT_CA_JUR!I8),"",IF(ETPT_CA_JUR!I8=0,"",ETPT_CA_JUR!I8)))</f>
        <v/>
      </c>
      <c r="J8" s="136" t="str">
        <f>IF(ISBLANK($D$3),"",IF(ISERROR(ETPT_CA_JUR!J8),"",IF(ETPT_CA_JUR!J8=0,"",ETPT_CA_JUR!J8)))</f>
        <v/>
      </c>
      <c r="K8" s="136" t="str">
        <f>IF(ISBLANK($D$3),"",IF(ISERROR(ETPT_CA_JUR!K8),"",IF(ETPT_CA_JUR!K8=0,"",ETPT_CA_JUR!K8)))</f>
        <v/>
      </c>
      <c r="L8" s="136" t="str">
        <f>IF(ISBLANK($D$3),"",IF(ISERROR(ETPT_CA_JUR!L8),"",IF(ETPT_CA_JUR!L8=0,"",ETPT_CA_JUR!L8)))</f>
        <v/>
      </c>
      <c r="M8" s="136" t="str">
        <f>IF(ISBLANK($D$3),"",IF(ISERROR(ETPT_CA_JUR!M8),"",IF(ETPT_CA_JUR!M8=0,"",ETPT_CA_JUR!M8)))</f>
        <v/>
      </c>
      <c r="N8" s="136" t="str">
        <f>IF(ISBLANK($D$3),"",IF(ISERROR(ETPT_CA_JUR!N8),"",IF(ETPT_CA_JUR!N8=0,"",ETPT_CA_JUR!N8)))</f>
        <v/>
      </c>
      <c r="O8" s="137">
        <f>ETPT_CA_JUR!O8</f>
        <v>0</v>
      </c>
      <c r="P8" s="136" t="str">
        <f>IF(ISBLANK($D$3),"",IF(ISERROR(ETPT_CA_JUR!P8),"",IF(ETPT_CA_JUR!P8=0,"",ETPT_CA_JUR!P8)))</f>
        <v/>
      </c>
      <c r="Q8" s="136" t="str">
        <f>IF(ISBLANK($D$3),"",IF(ISERROR(ETPT_CA_JUR!Q8),"",IF(ETPT_CA_JUR!Q8=0,"",ETPT_CA_JUR!Q8)))</f>
        <v/>
      </c>
      <c r="R8" s="136" t="str">
        <f>IF(ISBLANK($D$3),"",IF(ISERROR(ETPT_CA_JUR!R8),"",IF(ETPT_CA_JUR!R8=0,"",ETPT_CA_JUR!R8)))</f>
        <v/>
      </c>
      <c r="S8" s="136" t="str">
        <f>IF(ISBLANK($D$3),"",IF(ISERROR(ETPT_CA_JUR!S8),"",IF(ETPT_CA_JUR!S8=0,"",ETPT_CA_JUR!S8)))</f>
        <v/>
      </c>
      <c r="T8" s="136" t="str">
        <f>IF(ISBLANK($D$3),"",IF(ISERROR(ETPT_CA_JUR!T8),"",IF(ETPT_CA_JUR!T8=0,"",ETPT_CA_JUR!T8)))</f>
        <v/>
      </c>
      <c r="U8" s="137">
        <f>ETPT_CA_JUR!U8</f>
        <v>0</v>
      </c>
      <c r="V8" s="136" t="str">
        <f>IF(ISBLANK($D$3),"",IF(ISERROR(ETPT_CA_JUR!V8),"",IF(ETPT_CA_JUR!V8=0,"",ETPT_CA_JUR!V8)))</f>
        <v/>
      </c>
      <c r="W8" s="136" t="str">
        <f>IF(ISBLANK($D$3),"",IF(ISERROR(ETPT_CA_JUR!W8),"",IF(ETPT_CA_JUR!W8=0,"",ETPT_CA_JUR!W8)))</f>
        <v/>
      </c>
      <c r="X8" s="136" t="str">
        <f>IF(ISBLANK($D$3),"",IF(ISERROR(ETPT_CA_JUR!X8),"",IF(ETPT_CA_JUR!X8=0,"",ETPT_CA_JUR!X8)))</f>
        <v/>
      </c>
      <c r="Y8" s="136" t="str">
        <f>IF(ISBLANK($D$3),"",IF(ISERROR(ETPT_CA_JUR!Y8),"",IF(ETPT_CA_JUR!Y8=0,"",ETPT_CA_JUR!Y8)))</f>
        <v/>
      </c>
      <c r="Z8" s="136" t="str">
        <f>IF(ISBLANK($D$3),"",IF(ISERROR(ETPT_CA_JUR!Z8),"",IF(ETPT_CA_JUR!Z8=0,"",ETPT_CA_JUR!Z8)))</f>
        <v/>
      </c>
      <c r="AA8" s="137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6" t="str">
        <f>IF(ISBLANK($D$3),"",IF(ISERROR(ETPT_CA_JUR!G9),"",IF(ETPT_CA_JUR!G9=0,"",ETPT_CA_JUR!G9)))</f>
        <v/>
      </c>
      <c r="H9" s="137">
        <f>ETPT_CA_JUR!H9</f>
        <v>0</v>
      </c>
      <c r="I9" s="136" t="str">
        <f>IF(ISBLANK($D$3),"",IF(ISERROR(ETPT_CA_JUR!I9),"",IF(ETPT_CA_JUR!I9=0,"",ETPT_CA_JUR!I9)))</f>
        <v/>
      </c>
      <c r="J9" s="136" t="str">
        <f>IF(ISBLANK($D$3),"",IF(ISERROR(ETPT_CA_JUR!J9),"",IF(ETPT_CA_JUR!J9=0,"",ETPT_CA_JUR!J9)))</f>
        <v/>
      </c>
      <c r="K9" s="136" t="str">
        <f>IF(ISBLANK($D$3),"",IF(ISERROR(ETPT_CA_JUR!K9),"",IF(ETPT_CA_JUR!K9=0,"",ETPT_CA_JUR!K9)))</f>
        <v/>
      </c>
      <c r="L9" s="136" t="str">
        <f>IF(ISBLANK($D$3),"",IF(ISERROR(ETPT_CA_JUR!L9),"",IF(ETPT_CA_JUR!L9=0,"",ETPT_CA_JUR!L9)))</f>
        <v/>
      </c>
      <c r="M9" s="136" t="str">
        <f>IF(ISBLANK($D$3),"",IF(ISERROR(ETPT_CA_JUR!M9),"",IF(ETPT_CA_JUR!M9=0,"",ETPT_CA_JUR!M9)))</f>
        <v/>
      </c>
      <c r="N9" s="136" t="str">
        <f>IF(ISBLANK($D$3),"",IF(ISERROR(ETPT_CA_JUR!N9),"",IF(ETPT_CA_JUR!N9=0,"",ETPT_CA_JUR!N9)))</f>
        <v/>
      </c>
      <c r="O9" s="137">
        <f>ETPT_CA_JUR!O9</f>
        <v>0</v>
      </c>
      <c r="P9" s="136" t="str">
        <f>IF(ISBLANK($D$3),"",IF(ISERROR(ETPT_CA_JUR!P9),"",IF(ETPT_CA_JUR!P9=0,"",ETPT_CA_JUR!P9)))</f>
        <v/>
      </c>
      <c r="Q9" s="136" t="str">
        <f>IF(ISBLANK($D$3),"",IF(ISERROR(ETPT_CA_JUR!Q9),"",IF(ETPT_CA_JUR!Q9=0,"",ETPT_CA_JUR!Q9)))</f>
        <v/>
      </c>
      <c r="R9" s="136" t="str">
        <f>IF(ISBLANK($D$3),"",IF(ISERROR(ETPT_CA_JUR!R9),"",IF(ETPT_CA_JUR!R9=0,"",ETPT_CA_JUR!R9)))</f>
        <v/>
      </c>
      <c r="S9" s="136" t="str">
        <f>IF(ISBLANK($D$3),"",IF(ISERROR(ETPT_CA_JUR!S9),"",IF(ETPT_CA_JUR!S9=0,"",ETPT_CA_JUR!S9)))</f>
        <v/>
      </c>
      <c r="T9" s="136" t="str">
        <f>IF(ISBLANK($D$3),"",IF(ISERROR(ETPT_CA_JUR!T9),"",IF(ETPT_CA_JUR!T9=0,"",ETPT_CA_JUR!T9)))</f>
        <v/>
      </c>
      <c r="U9" s="137">
        <f>ETPT_CA_JUR!U9</f>
        <v>0</v>
      </c>
      <c r="V9" s="136" t="str">
        <f>IF(ISBLANK($D$3),"",IF(ISERROR(ETPT_CA_JUR!V9),"",IF(ETPT_CA_JUR!V9=0,"",ETPT_CA_JUR!V9)))</f>
        <v/>
      </c>
      <c r="W9" s="136" t="str">
        <f>IF(ISBLANK($D$3),"",IF(ISERROR(ETPT_CA_JUR!W9),"",IF(ETPT_CA_JUR!W9=0,"",ETPT_CA_JUR!W9)))</f>
        <v/>
      </c>
      <c r="X9" s="136" t="str">
        <f>IF(ISBLANK($D$3),"",IF(ISERROR(ETPT_CA_JUR!X9),"",IF(ETPT_CA_JUR!X9=0,"",ETPT_CA_JUR!X9)))</f>
        <v/>
      </c>
      <c r="Y9" s="136" t="str">
        <f>IF(ISBLANK($D$3),"",IF(ISERROR(ETPT_CA_JUR!Y9),"",IF(ETPT_CA_JUR!Y9=0,"",ETPT_CA_JUR!Y9)))</f>
        <v/>
      </c>
      <c r="Z9" s="136" t="str">
        <f>IF(ISBLANK($D$3),"",IF(ISERROR(ETPT_CA_JUR!Z9),"",IF(ETPT_CA_JUR!Z9=0,"",ETPT_CA_JUR!Z9)))</f>
        <v/>
      </c>
      <c r="AA9" s="137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6" t="str">
        <f>IF(ISBLANK($D$3),"",IF(ISERROR(ETPT_CA_JUR!G10),"",IF(ETPT_CA_JUR!G10=0,"",ETPT_CA_JUR!G10)))</f>
        <v/>
      </c>
      <c r="H10" s="137">
        <f>ETPT_CA_JUR!H10</f>
        <v>0</v>
      </c>
      <c r="I10" s="136" t="str">
        <f>IF(ISBLANK($D$3),"",IF(ISERROR(ETPT_CA_JUR!I10),"",IF(ETPT_CA_JUR!I10=0,"",ETPT_CA_JUR!I10)))</f>
        <v/>
      </c>
      <c r="J10" s="136" t="str">
        <f>IF(ISBLANK($D$3),"",IF(ISERROR(ETPT_CA_JUR!J10),"",IF(ETPT_CA_JUR!J10=0,"",ETPT_CA_JUR!J10)))</f>
        <v/>
      </c>
      <c r="K10" s="136" t="str">
        <f>IF(ISBLANK($D$3),"",IF(ISERROR(ETPT_CA_JUR!K10),"",IF(ETPT_CA_JUR!K10=0,"",ETPT_CA_JUR!K10)))</f>
        <v/>
      </c>
      <c r="L10" s="136" t="str">
        <f>IF(ISBLANK($D$3),"",IF(ISERROR(ETPT_CA_JUR!L10),"",IF(ETPT_CA_JUR!L10=0,"",ETPT_CA_JUR!L10)))</f>
        <v/>
      </c>
      <c r="M10" s="136" t="str">
        <f>IF(ISBLANK($D$3),"",IF(ISERROR(ETPT_CA_JUR!M10),"",IF(ETPT_CA_JUR!M10=0,"",ETPT_CA_JUR!M10)))</f>
        <v/>
      </c>
      <c r="N10" s="136" t="str">
        <f>IF(ISBLANK($D$3),"",IF(ISERROR(ETPT_CA_JUR!N10),"",IF(ETPT_CA_JUR!N10=0,"",ETPT_CA_JUR!N10)))</f>
        <v/>
      </c>
      <c r="O10" s="137">
        <f>ETPT_CA_JUR!O10</f>
        <v>0</v>
      </c>
      <c r="P10" s="136" t="str">
        <f>IF(ISBLANK($D$3),"",IF(ISERROR(ETPT_CA_JUR!P10),"",IF(ETPT_CA_JUR!P10=0,"",ETPT_CA_JUR!P10)))</f>
        <v/>
      </c>
      <c r="Q10" s="136" t="str">
        <f>IF(ISBLANK($D$3),"",IF(ISERROR(ETPT_CA_JUR!Q10),"",IF(ETPT_CA_JUR!Q10=0,"",ETPT_CA_JUR!Q10)))</f>
        <v/>
      </c>
      <c r="R10" s="136" t="str">
        <f>IF(ISBLANK($D$3),"",IF(ISERROR(ETPT_CA_JUR!R10),"",IF(ETPT_CA_JUR!R10=0,"",ETPT_CA_JUR!R10)))</f>
        <v/>
      </c>
      <c r="S10" s="136" t="str">
        <f>IF(ISBLANK($D$3),"",IF(ISERROR(ETPT_CA_JUR!S10),"",IF(ETPT_CA_JUR!S10=0,"",ETPT_CA_JUR!S10)))</f>
        <v/>
      </c>
      <c r="T10" s="136" t="str">
        <f>IF(ISBLANK($D$3),"",IF(ISERROR(ETPT_CA_JUR!T10),"",IF(ETPT_CA_JUR!T10=0,"",ETPT_CA_JUR!T10)))</f>
        <v/>
      </c>
      <c r="U10" s="137">
        <f>ETPT_CA_JUR!U10</f>
        <v>0</v>
      </c>
      <c r="V10" s="136" t="str">
        <f>IF(ISBLANK($D$3),"",IF(ISERROR(ETPT_CA_JUR!V10),"",IF(ETPT_CA_JUR!V10=0,"",ETPT_CA_JUR!V10)))</f>
        <v/>
      </c>
      <c r="W10" s="136" t="str">
        <f>IF(ISBLANK($D$3),"",IF(ISERROR(ETPT_CA_JUR!W10),"",IF(ETPT_CA_JUR!W10=0,"",ETPT_CA_JUR!W10)))</f>
        <v/>
      </c>
      <c r="X10" s="136" t="str">
        <f>IF(ISBLANK($D$3),"",IF(ISERROR(ETPT_CA_JUR!X10),"",IF(ETPT_CA_JUR!X10=0,"",ETPT_CA_JUR!X10)))</f>
        <v/>
      </c>
      <c r="Y10" s="136" t="str">
        <f>IF(ISBLANK($D$3),"",IF(ISERROR(ETPT_CA_JUR!Y10),"",IF(ETPT_CA_JUR!Y10=0,"",ETPT_CA_JUR!Y10)))</f>
        <v/>
      </c>
      <c r="Z10" s="136" t="str">
        <f>IF(ISBLANK($D$3),"",IF(ISERROR(ETPT_CA_JUR!Z10),"",IF(ETPT_CA_JUR!Z10=0,"",ETPT_CA_JUR!Z10)))</f>
        <v/>
      </c>
      <c r="AA10" s="137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6" t="str">
        <f>IF(ISBLANK($D$3),"",IF(ISERROR(ETPT_CA_JUR!G11),"",IF(ETPT_CA_JUR!G11=0,"",ETPT_CA_JUR!G11)))</f>
        <v/>
      </c>
      <c r="H11" s="137">
        <f>ETPT_CA_JUR!H11</f>
        <v>0</v>
      </c>
      <c r="I11" s="136" t="str">
        <f>IF(ISBLANK($D$3),"",IF(ISERROR(ETPT_CA_JUR!I11),"",IF(ETPT_CA_JUR!I11=0,"",ETPT_CA_JUR!I11)))</f>
        <v/>
      </c>
      <c r="J11" s="136" t="str">
        <f>IF(ISBLANK($D$3),"",IF(ISERROR(ETPT_CA_JUR!J11),"",IF(ETPT_CA_JUR!J11=0,"",ETPT_CA_JUR!J11)))</f>
        <v/>
      </c>
      <c r="K11" s="136" t="str">
        <f>IF(ISBLANK($D$3),"",IF(ISERROR(ETPT_CA_JUR!K11),"",IF(ETPT_CA_JUR!K11=0,"",ETPT_CA_JUR!K11)))</f>
        <v/>
      </c>
      <c r="L11" s="136" t="str">
        <f>IF(ISBLANK($D$3),"",IF(ISERROR(ETPT_CA_JUR!L11),"",IF(ETPT_CA_JUR!L11=0,"",ETPT_CA_JUR!L11)))</f>
        <v/>
      </c>
      <c r="M11" s="136" t="str">
        <f>IF(ISBLANK($D$3),"",IF(ISERROR(ETPT_CA_JUR!M11),"",IF(ETPT_CA_JUR!M11=0,"",ETPT_CA_JUR!M11)))</f>
        <v/>
      </c>
      <c r="N11" s="136" t="str">
        <f>IF(ISBLANK($D$3),"",IF(ISERROR(ETPT_CA_JUR!N11),"",IF(ETPT_CA_JUR!N11=0,"",ETPT_CA_JUR!N11)))</f>
        <v/>
      </c>
      <c r="O11" s="137">
        <f>ETPT_CA_JUR!O11</f>
        <v>0</v>
      </c>
      <c r="P11" s="136" t="str">
        <f>IF(ISBLANK($D$3),"",IF(ISERROR(ETPT_CA_JUR!P11),"",IF(ETPT_CA_JUR!P11=0,"",ETPT_CA_JUR!P11)))</f>
        <v/>
      </c>
      <c r="Q11" s="136" t="str">
        <f>IF(ISBLANK($D$3),"",IF(ISERROR(ETPT_CA_JUR!Q11),"",IF(ETPT_CA_JUR!Q11=0,"",ETPT_CA_JUR!Q11)))</f>
        <v/>
      </c>
      <c r="R11" s="136" t="str">
        <f>IF(ISBLANK($D$3),"",IF(ISERROR(ETPT_CA_JUR!R11),"",IF(ETPT_CA_JUR!R11=0,"",ETPT_CA_JUR!R11)))</f>
        <v/>
      </c>
      <c r="S11" s="136" t="str">
        <f>IF(ISBLANK($D$3),"",IF(ISERROR(ETPT_CA_JUR!S11),"",IF(ETPT_CA_JUR!S11=0,"",ETPT_CA_JUR!S11)))</f>
        <v/>
      </c>
      <c r="T11" s="136" t="str">
        <f>IF(ISBLANK($D$3),"",IF(ISERROR(ETPT_CA_JUR!T11),"",IF(ETPT_CA_JUR!T11=0,"",ETPT_CA_JUR!T11)))</f>
        <v/>
      </c>
      <c r="U11" s="137">
        <f>ETPT_CA_JUR!U11</f>
        <v>0</v>
      </c>
      <c r="V11" s="136" t="str">
        <f>IF(ISBLANK($D$3),"",IF(ISERROR(ETPT_CA_JUR!V11),"",IF(ETPT_CA_JUR!V11=0,"",ETPT_CA_JUR!V11)))</f>
        <v/>
      </c>
      <c r="W11" s="136" t="str">
        <f>IF(ISBLANK($D$3),"",IF(ISERROR(ETPT_CA_JUR!W11),"",IF(ETPT_CA_JUR!W11=0,"",ETPT_CA_JUR!W11)))</f>
        <v/>
      </c>
      <c r="X11" s="136" t="str">
        <f>IF(ISBLANK($D$3),"",IF(ISERROR(ETPT_CA_JUR!X11),"",IF(ETPT_CA_JUR!X11=0,"",ETPT_CA_JUR!X11)))</f>
        <v/>
      </c>
      <c r="Y11" s="136" t="str">
        <f>IF(ISBLANK($D$3),"",IF(ISERROR(ETPT_CA_JUR!Y11),"",IF(ETPT_CA_JUR!Y11=0,"",ETPT_CA_JUR!Y11)))</f>
        <v/>
      </c>
      <c r="Z11" s="136" t="str">
        <f>IF(ISBLANK($D$3),"",IF(ISERROR(ETPT_CA_JUR!Z11),"",IF(ETPT_CA_JUR!Z11=0,"",ETPT_CA_JUR!Z11)))</f>
        <v/>
      </c>
      <c r="AA11" s="137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6" t="str">
        <f>IF(ISBLANK($D$3),"",IF(ISERROR(ETPT_CA_JUR!G12),"",IF(ETPT_CA_JUR!G12=0,"",ETPT_CA_JUR!G12)))</f>
        <v/>
      </c>
      <c r="H12" s="137">
        <f>ETPT_CA_JUR!H12</f>
        <v>0</v>
      </c>
      <c r="I12" s="136" t="str">
        <f>IF(ISBLANK($D$3),"",IF(ISERROR(ETPT_CA_JUR!I12),"",IF(ETPT_CA_JUR!I12=0,"",ETPT_CA_JUR!I12)))</f>
        <v/>
      </c>
      <c r="J12" s="136" t="str">
        <f>IF(ISBLANK($D$3),"",IF(ISERROR(ETPT_CA_JUR!J12),"",IF(ETPT_CA_JUR!J12=0,"",ETPT_CA_JUR!J12)))</f>
        <v/>
      </c>
      <c r="K12" s="136" t="str">
        <f>IF(ISBLANK($D$3),"",IF(ISERROR(ETPT_CA_JUR!K12),"",IF(ETPT_CA_JUR!K12=0,"",ETPT_CA_JUR!K12)))</f>
        <v/>
      </c>
      <c r="L12" s="136" t="str">
        <f>IF(ISBLANK($D$3),"",IF(ISERROR(ETPT_CA_JUR!L12),"",IF(ETPT_CA_JUR!L12=0,"",ETPT_CA_JUR!L12)))</f>
        <v/>
      </c>
      <c r="M12" s="136" t="str">
        <f>IF(ISBLANK($D$3),"",IF(ISERROR(ETPT_CA_JUR!M12),"",IF(ETPT_CA_JUR!M12=0,"",ETPT_CA_JUR!M12)))</f>
        <v/>
      </c>
      <c r="N12" s="136" t="str">
        <f>IF(ISBLANK($D$3),"",IF(ISERROR(ETPT_CA_JUR!N12),"",IF(ETPT_CA_JUR!N12=0,"",ETPT_CA_JUR!N12)))</f>
        <v/>
      </c>
      <c r="O12" s="137">
        <f>ETPT_CA_JUR!O12</f>
        <v>0</v>
      </c>
      <c r="P12" s="136" t="str">
        <f>IF(ISBLANK($D$3),"",IF(ISERROR(ETPT_CA_JUR!P12),"",IF(ETPT_CA_JUR!P12=0,"",ETPT_CA_JUR!P12)))</f>
        <v/>
      </c>
      <c r="Q12" s="136" t="str">
        <f>IF(ISBLANK($D$3),"",IF(ISERROR(ETPT_CA_JUR!Q12),"",IF(ETPT_CA_JUR!Q12=0,"",ETPT_CA_JUR!Q12)))</f>
        <v/>
      </c>
      <c r="R12" s="136" t="str">
        <f>IF(ISBLANK($D$3),"",IF(ISERROR(ETPT_CA_JUR!R12),"",IF(ETPT_CA_JUR!R12=0,"",ETPT_CA_JUR!R12)))</f>
        <v/>
      </c>
      <c r="S12" s="136" t="str">
        <f>IF(ISBLANK($D$3),"",IF(ISERROR(ETPT_CA_JUR!S12),"",IF(ETPT_CA_JUR!S12=0,"",ETPT_CA_JUR!S12)))</f>
        <v/>
      </c>
      <c r="T12" s="136" t="str">
        <f>IF(ISBLANK($D$3),"",IF(ISERROR(ETPT_CA_JUR!T12),"",IF(ETPT_CA_JUR!T12=0,"",ETPT_CA_JUR!T12)))</f>
        <v/>
      </c>
      <c r="U12" s="137">
        <f>ETPT_CA_JUR!U12</f>
        <v>0</v>
      </c>
      <c r="V12" s="136" t="str">
        <f>IF(ISBLANK($D$3),"",IF(ISERROR(ETPT_CA_JUR!V12),"",IF(ETPT_CA_JUR!V12=0,"",ETPT_CA_JUR!V12)))</f>
        <v/>
      </c>
      <c r="W12" s="136" t="str">
        <f>IF(ISBLANK($D$3),"",IF(ISERROR(ETPT_CA_JUR!W12),"",IF(ETPT_CA_JUR!W12=0,"",ETPT_CA_JUR!W12)))</f>
        <v/>
      </c>
      <c r="X12" s="136" t="str">
        <f>IF(ISBLANK($D$3),"",IF(ISERROR(ETPT_CA_JUR!X12),"",IF(ETPT_CA_JUR!X12=0,"",ETPT_CA_JUR!X12)))</f>
        <v/>
      </c>
      <c r="Y12" s="136" t="str">
        <f>IF(ISBLANK($D$3),"",IF(ISERROR(ETPT_CA_JUR!Y12),"",IF(ETPT_CA_JUR!Y12=0,"",ETPT_CA_JUR!Y12)))</f>
        <v/>
      </c>
      <c r="Z12" s="136" t="str">
        <f>IF(ISBLANK($D$3),"",IF(ISERROR(ETPT_CA_JUR!Z12),"",IF(ETPT_CA_JUR!Z12=0,"",ETPT_CA_JUR!Z12)))</f>
        <v/>
      </c>
      <c r="AA12" s="137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6" t="str">
        <f>IF(ISBLANK($D$3),"",IF(ISERROR(ETPT_CA_JUR!G13),"",IF(ETPT_CA_JUR!G13=0,"",ETPT_CA_JUR!G13)))</f>
        <v/>
      </c>
      <c r="H13" s="137">
        <f>ETPT_CA_JUR!H13</f>
        <v>0</v>
      </c>
      <c r="I13" s="136" t="str">
        <f>IF(ISBLANK($D$3),"",IF(ISERROR(ETPT_CA_JUR!I13),"",IF(ETPT_CA_JUR!I13=0,"",ETPT_CA_JUR!I13)))</f>
        <v/>
      </c>
      <c r="J13" s="136" t="str">
        <f>IF(ISBLANK($D$3),"",IF(ISERROR(ETPT_CA_JUR!J13),"",IF(ETPT_CA_JUR!J13=0,"",ETPT_CA_JUR!J13)))</f>
        <v/>
      </c>
      <c r="K13" s="136" t="str">
        <f>IF(ISBLANK($D$3),"",IF(ISERROR(ETPT_CA_JUR!K13),"",IF(ETPT_CA_JUR!K13=0,"",ETPT_CA_JUR!K13)))</f>
        <v/>
      </c>
      <c r="L13" s="136" t="str">
        <f>IF(ISBLANK($D$3),"",IF(ISERROR(ETPT_CA_JUR!L13),"",IF(ETPT_CA_JUR!L13=0,"",ETPT_CA_JUR!L13)))</f>
        <v/>
      </c>
      <c r="M13" s="136" t="str">
        <f>IF(ISBLANK($D$3),"",IF(ISERROR(ETPT_CA_JUR!M13),"",IF(ETPT_CA_JUR!M13=0,"",ETPT_CA_JUR!M13)))</f>
        <v/>
      </c>
      <c r="N13" s="136" t="str">
        <f>IF(ISBLANK($D$3),"",IF(ISERROR(ETPT_CA_JUR!N13),"",IF(ETPT_CA_JUR!N13=0,"",ETPT_CA_JUR!N13)))</f>
        <v/>
      </c>
      <c r="O13" s="137">
        <f>ETPT_CA_JUR!O13</f>
        <v>0</v>
      </c>
      <c r="P13" s="136" t="str">
        <f>IF(ISBLANK($D$3),"",IF(ISERROR(ETPT_CA_JUR!P13),"",IF(ETPT_CA_JUR!P13=0,"",ETPT_CA_JUR!P13)))</f>
        <v/>
      </c>
      <c r="Q13" s="136" t="str">
        <f>IF(ISBLANK($D$3),"",IF(ISERROR(ETPT_CA_JUR!Q13),"",IF(ETPT_CA_JUR!Q13=0,"",ETPT_CA_JUR!Q13)))</f>
        <v/>
      </c>
      <c r="R13" s="136" t="str">
        <f>IF(ISBLANK($D$3),"",IF(ISERROR(ETPT_CA_JUR!R13),"",IF(ETPT_CA_JUR!R13=0,"",ETPT_CA_JUR!R13)))</f>
        <v/>
      </c>
      <c r="S13" s="136" t="str">
        <f>IF(ISBLANK($D$3),"",IF(ISERROR(ETPT_CA_JUR!S13),"",IF(ETPT_CA_JUR!S13=0,"",ETPT_CA_JUR!S13)))</f>
        <v/>
      </c>
      <c r="T13" s="136" t="str">
        <f>IF(ISBLANK($D$3),"",IF(ISERROR(ETPT_CA_JUR!T13),"",IF(ETPT_CA_JUR!T13=0,"",ETPT_CA_JUR!T13)))</f>
        <v/>
      </c>
      <c r="U13" s="137">
        <f>ETPT_CA_JUR!U13</f>
        <v>0</v>
      </c>
      <c r="V13" s="136" t="str">
        <f>IF(ISBLANK($D$3),"",IF(ISERROR(ETPT_CA_JUR!V13),"",IF(ETPT_CA_JUR!V13=0,"",ETPT_CA_JUR!V13)))</f>
        <v/>
      </c>
      <c r="W13" s="136" t="str">
        <f>IF(ISBLANK($D$3),"",IF(ISERROR(ETPT_CA_JUR!W13),"",IF(ETPT_CA_JUR!W13=0,"",ETPT_CA_JUR!W13)))</f>
        <v/>
      </c>
      <c r="X13" s="136" t="str">
        <f>IF(ISBLANK($D$3),"",IF(ISERROR(ETPT_CA_JUR!X13),"",IF(ETPT_CA_JUR!X13=0,"",ETPT_CA_JUR!X13)))</f>
        <v/>
      </c>
      <c r="Y13" s="136" t="str">
        <f>IF(ISBLANK($D$3),"",IF(ISERROR(ETPT_CA_JUR!Y13),"",IF(ETPT_CA_JUR!Y13=0,"",ETPT_CA_JUR!Y13)))</f>
        <v/>
      </c>
      <c r="Z13" s="136" t="str">
        <f>IF(ISBLANK($D$3),"",IF(ISERROR(ETPT_CA_JUR!Z13),"",IF(ETPT_CA_JUR!Z13=0,"",ETPT_CA_JUR!Z13)))</f>
        <v/>
      </c>
      <c r="AA13" s="137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6" t="str">
        <f>IF(ISBLANK($D$3),"",IF(ISERROR(ETPT_CA_JUR!G14),"",IF(ETPT_CA_JUR!G14=0,"",ETPT_CA_JUR!G14)))</f>
        <v/>
      </c>
      <c r="H14" s="137">
        <f>ETPT_CA_JUR!H14</f>
        <v>0</v>
      </c>
      <c r="I14" s="136" t="str">
        <f>IF(ISBLANK($D$3),"",IF(ISERROR(ETPT_CA_JUR!I14),"",IF(ETPT_CA_JUR!I14=0,"",ETPT_CA_JUR!I14)))</f>
        <v/>
      </c>
      <c r="J14" s="136" t="str">
        <f>IF(ISBLANK($D$3),"",IF(ISERROR(ETPT_CA_JUR!J14),"",IF(ETPT_CA_JUR!J14=0,"",ETPT_CA_JUR!J14)))</f>
        <v/>
      </c>
      <c r="K14" s="136" t="str">
        <f>IF(ISBLANK($D$3),"",IF(ISERROR(ETPT_CA_JUR!K14),"",IF(ETPT_CA_JUR!K14=0,"",ETPT_CA_JUR!K14)))</f>
        <v/>
      </c>
      <c r="L14" s="136" t="str">
        <f>IF(ISBLANK($D$3),"",IF(ISERROR(ETPT_CA_JUR!L14),"",IF(ETPT_CA_JUR!L14=0,"",ETPT_CA_JUR!L14)))</f>
        <v/>
      </c>
      <c r="M14" s="136" t="str">
        <f>IF(ISBLANK($D$3),"",IF(ISERROR(ETPT_CA_JUR!M14),"",IF(ETPT_CA_JUR!M14=0,"",ETPT_CA_JUR!M14)))</f>
        <v/>
      </c>
      <c r="N14" s="136" t="str">
        <f>IF(ISBLANK($D$3),"",IF(ISERROR(ETPT_CA_JUR!N14),"",IF(ETPT_CA_JUR!N14=0,"",ETPT_CA_JUR!N14)))</f>
        <v/>
      </c>
      <c r="O14" s="137">
        <f>ETPT_CA_JUR!O14</f>
        <v>0</v>
      </c>
      <c r="P14" s="136" t="str">
        <f>IF(ISBLANK($D$3),"",IF(ISERROR(ETPT_CA_JUR!P14),"",IF(ETPT_CA_JUR!P14=0,"",ETPT_CA_JUR!P14)))</f>
        <v/>
      </c>
      <c r="Q14" s="136" t="str">
        <f>IF(ISBLANK($D$3),"",IF(ISERROR(ETPT_CA_JUR!Q14),"",IF(ETPT_CA_JUR!Q14=0,"",ETPT_CA_JUR!Q14)))</f>
        <v/>
      </c>
      <c r="R14" s="136" t="str">
        <f>IF(ISBLANK($D$3),"",IF(ISERROR(ETPT_CA_JUR!R14),"",IF(ETPT_CA_JUR!R14=0,"",ETPT_CA_JUR!R14)))</f>
        <v/>
      </c>
      <c r="S14" s="136" t="str">
        <f>IF(ISBLANK($D$3),"",IF(ISERROR(ETPT_CA_JUR!S14),"",IF(ETPT_CA_JUR!S14=0,"",ETPT_CA_JUR!S14)))</f>
        <v/>
      </c>
      <c r="T14" s="136" t="str">
        <f>IF(ISBLANK($D$3),"",IF(ISERROR(ETPT_CA_JUR!T14),"",IF(ETPT_CA_JUR!T14=0,"",ETPT_CA_JUR!T14)))</f>
        <v/>
      </c>
      <c r="U14" s="137">
        <f>ETPT_CA_JUR!U14</f>
        <v>0</v>
      </c>
      <c r="V14" s="136" t="str">
        <f>IF(ISBLANK($D$3),"",IF(ISERROR(ETPT_CA_JUR!V14),"",IF(ETPT_CA_JUR!V14=0,"",ETPT_CA_JUR!V14)))</f>
        <v/>
      </c>
      <c r="W14" s="136" t="str">
        <f>IF(ISBLANK($D$3),"",IF(ISERROR(ETPT_CA_JUR!W14),"",IF(ETPT_CA_JUR!W14=0,"",ETPT_CA_JUR!W14)))</f>
        <v/>
      </c>
      <c r="X14" s="136" t="str">
        <f>IF(ISBLANK($D$3),"",IF(ISERROR(ETPT_CA_JUR!X14),"",IF(ETPT_CA_JUR!X14=0,"",ETPT_CA_JUR!X14)))</f>
        <v/>
      </c>
      <c r="Y14" s="136" t="str">
        <f>IF(ISBLANK($D$3),"",IF(ISERROR(ETPT_CA_JUR!Y14),"",IF(ETPT_CA_JUR!Y14=0,"",ETPT_CA_JUR!Y14)))</f>
        <v/>
      </c>
      <c r="Z14" s="136" t="str">
        <f>IF(ISBLANK($D$3),"",IF(ISERROR(ETPT_CA_JUR!Z14),"",IF(ETPT_CA_JUR!Z14=0,"",ETPT_CA_JUR!Z14)))</f>
        <v/>
      </c>
      <c r="AA14" s="137">
        <f>ETPT_CA_JUR!AA14</f>
        <v>0</v>
      </c>
    </row>
    <row r="15" spans="1:27" x14ac:dyDescent="0.2">
      <c r="D15" s="38"/>
      <c r="E15" s="97"/>
      <c r="F15" s="98" t="s">
        <v>37</v>
      </c>
      <c r="G15" s="137">
        <f>ETPT_CA_JUR!G15</f>
        <v>0</v>
      </c>
      <c r="H15" s="137">
        <f>ETPT_CA_JUR!H15</f>
        <v>0</v>
      </c>
      <c r="I15" s="137">
        <f>ETPT_CA_JUR!I15</f>
        <v>0</v>
      </c>
      <c r="J15" s="137">
        <f>ETPT_CA_JUR!J15</f>
        <v>0</v>
      </c>
      <c r="K15" s="137">
        <f>ETPT_CA_JUR!K15</f>
        <v>0</v>
      </c>
      <c r="L15" s="137">
        <f>ETPT_CA_JUR!L15</f>
        <v>0</v>
      </c>
      <c r="M15" s="137">
        <f>ETPT_CA_JUR!M15</f>
        <v>0</v>
      </c>
      <c r="N15" s="137">
        <f>ETPT_CA_JUR!N15</f>
        <v>0</v>
      </c>
      <c r="O15" s="137">
        <f>ETPT_CA_JUR!O15</f>
        <v>0</v>
      </c>
      <c r="P15" s="137">
        <f>ETPT_CA_JUR!P15</f>
        <v>0</v>
      </c>
      <c r="Q15" s="137">
        <f>ETPT_CA_JUR!Q15</f>
        <v>0</v>
      </c>
      <c r="R15" s="137">
        <f>ETPT_CA_JUR!R15</f>
        <v>0</v>
      </c>
      <c r="S15" s="137">
        <f>ETPT_CA_JUR!S15</f>
        <v>0</v>
      </c>
      <c r="T15" s="137">
        <f>ETPT_CA_JUR!T15</f>
        <v>0</v>
      </c>
      <c r="U15" s="137">
        <f>ETPT_CA_JUR!U15</f>
        <v>0</v>
      </c>
      <c r="V15" s="137">
        <f>ETPT_CA_JUR!V15</f>
        <v>0</v>
      </c>
      <c r="W15" s="137">
        <f>ETPT_CA_JUR!W15</f>
        <v>0</v>
      </c>
      <c r="X15" s="137">
        <f>ETPT_CA_JUR!X15</f>
        <v>0</v>
      </c>
      <c r="Y15" s="137">
        <f>ETPT_CA_JUR!Y15</f>
        <v>0</v>
      </c>
      <c r="Z15" s="137">
        <f>ETPT_CA_JUR!Z15</f>
        <v>0</v>
      </c>
      <c r="AA15" s="137">
        <f>ETPT_CA_JUR!AA15</f>
        <v>0</v>
      </c>
    </row>
    <row r="16" spans="1:27" x14ac:dyDescent="0.2">
      <c r="D16" s="134"/>
      <c r="E16" s="134"/>
      <c r="F16" s="134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spans="1:27" ht="24" x14ac:dyDescent="0.2">
      <c r="A17" s="4"/>
      <c r="B17"/>
      <c r="C17"/>
      <c r="D17" s="135"/>
      <c r="E17" s="135"/>
      <c r="F17" s="151" t="s">
        <v>118</v>
      </c>
      <c r="G17" s="140" t="str">
        <f>IF(ISBLANK($D$3),"",IF(ISERROR(ETPT_CA_JUR!G17),"",IF(ETPT_CA_JUR!G17=0,"",ETPT_CA_JUR!G17)))</f>
        <v/>
      </c>
      <c r="H17" s="139"/>
      <c r="I17" s="202" t="s">
        <v>119</v>
      </c>
      <c r="J17" s="203"/>
      <c r="K17" s="203"/>
      <c r="L17" s="203"/>
      <c r="M17" s="204"/>
      <c r="N17" s="140" t="str">
        <f>IF(ISBLANK($D$3),"",IF(ISERROR(ETPT_CA_JUR!N17),"",IF(ETPT_CA_JUR!N17=0,"",ETPT_CA_JUR!N17)))</f>
        <v/>
      </c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N11"/>
  <sheetViews>
    <sheetView zoomScale="75" workbookViewId="0">
      <selection activeCell="A15" sqref="A15"/>
    </sheetView>
  </sheetViews>
  <sheetFormatPr baseColWidth="10" defaultRowHeight="15" x14ac:dyDescent="0.2"/>
  <cols>
    <col min="3" max="3" width="73.83203125" customWidth="1"/>
    <col min="4" max="13" width="23.6640625" customWidth="1"/>
    <col min="14" max="14" width="15.33203125" customWidth="1"/>
  </cols>
  <sheetData>
    <row r="1" spans="1:14" ht="74" customHeight="1" x14ac:dyDescent="0.25">
      <c r="A1" s="3" t="s">
        <v>120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29"/>
    </row>
    <row r="3" spans="1:14" x14ac:dyDescent="0.2">
      <c r="A3" s="118" t="s">
        <v>129</v>
      </c>
      <c r="B3" s="117" t="s">
        <v>59</v>
      </c>
      <c r="C3" s="117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Social"}))</f>
        <v>#N/A</v>
      </c>
      <c r="G3" s="112" t="e" cm="1">
        <f t="array" ref="G3">SUM(SUMIFS(
INDEX( 'ETPT Format DDG'!$A:$ZZ,,MATCH("2. TOTAL CONTENTIEUX COMMERCIAL",'ETPT Format DDG'!2:2,0)),
INDEX( 'ETPT Format DDG'!$A:$ZZ,,MATCH("Fonction recodée",'ETPT Format DDG'!2:2,0)),{"JA/AttJ Parquet";"JA/AttJ Siège autres";"JA/AttJ Social"}))+
SUM(SUMIFS(
INDEX( 'ETPT Format DDG'!$A:$ZZ,,MATCH("3. TOTAL CONTENTIEUX DE LA FAMILLE",'ETPT Format DDG'!2:2,0)),
INDEX( 'ETPT Format DDG'!$A:$ZZ,,MATCH("Fonction recodée",'ETPT Format DDG'!2:2,0)),{"JA/AttJ Parquet";"JA/AttJ Siège autres";"JA/AttJ Social"}))+
SUM(SUMIFS(
INDEX( 'ETPT Format DDG'!$A:$ZZ,,MATCH("4. TOTAL CONTENTIEUX DE LA PROTECTION",'ETPT Format DDG'!2:2,0)),
INDEX( 'ETPT Format DDG'!$A:$ZZ,,MATCH("Fonction recodée",'ETPT Format DDG'!2:2,0)),{"JA/AttJ Parquet";"JA/AttJ Siège autres";"JA/AttJ Social"}))+
SUM(SUMIFS(
INDEX( 'ETPT Format DDG'!$A:$ZZ,,MATCH("5. TOTAL CONTENTIEUX CIVIL NON SPÉCIALISÉ",'ETPT Format DDG'!2:2,0)),
INDEX( 'ETPT Format DDG'!$A:$ZZ,,MATCH("Fonction recodée",'ETPT Format DDG'!2:2,0)),{"JA/AttJ Parquet";"JA/AttJ Siège autres";"JA/AttJ Social"}))+
SUM(SUMIFS(
INDEX( 'ETPT Format DDG'!$A:$ZZ,,MATCH("12. TOTAL ATTRIBUTIONS DU PP",'ETPT Format DDG'!2:2,0)),
INDEX( 'ETPT Format DDG'!$A:$ZZ,,MATCH("Fonction recodée",'ETPT Format DDG'!2:2,0)),{"JA/AttJ Parquet";"JA/AttJ Siège autres";"JA/AttJ Social"}))-
SUM(SUMIFS(
INDEX( 'ETPT Format DDG'!$A:$ZZ,,MATCH("12.5. EXTRADITIONS ET MAE",'ETPT Format DDG'!2:2,0)),
INDEX( 'ETPT Format DDG'!$A:$ZZ,,MATCH("Fonction recodée",'ETPT Format DDG'!2:2,0)),{"JA/AttJ Parquet";"JA/AttJ Siège autres";"JA/AttJ Social"}))-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Social"}))-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DDG'!$A:$ZZ,,MATCH("7.1. ACTIVITÉ CIVILE",'ETPT Format DDG'!2:2,0)),
INDEX( 'ETPT Format DDG'!$A:$ZZ,,MATCH("Fonction recodée",'ETPT Format DDG'!2:2,0)),{"JA/AttJ Parquet";"JA/AttJ Siège autres";"JA/AttJ Social"}))</f>
        <v>#N/A</v>
      </c>
      <c r="H3" s="112" t="e" cm="1">
        <f t="array" ref="H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autres";"JA/AttJ Social"}))</f>
        <v>#N/A</v>
      </c>
      <c r="N3" s="114">
        <f>_xlfn.AGGREGATE(9,6,D3:M3)</f>
        <v>0</v>
      </c>
    </row>
    <row r="4" spans="1:14" x14ac:dyDescent="0.2">
      <c r="A4" s="118" t="s">
        <v>190</v>
      </c>
      <c r="B4" s="117" t="s">
        <v>57</v>
      </c>
      <c r="C4" s="117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5"/>
      <c r="G4" s="112" t="e" cm="1">
        <f t="array" ref="G4">SUM(SUMIFS(
INDEX( 'ETPT Format DDG'!$A:$ZZ,,MATCH("12.5. EXTRADITIONS ET MAE",'ETPT Format DDG'!2:2,0)),
INDEX( 'ETPT Format DDG'!$A:$ZZ,,MATCH("Fonction recodée",'ETPT Format DDG'!2:2,0)),{"JA/AttJ Parquet";"JA/AttJ Siège autres";"JA/AttJ Social"}))+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Social"}))+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DDG'!$A:$ZZ,,MATCH("7.2. ACTIVITÉ PÉNALE",'ETPT Format DDG'!2:2,0)),
INDEX( 'ETPT Format DDG'!$A:$ZZ,,MATCH("Fonction recodée",'ETPT Format DDG'!2:2,0)),{"JA/AttJ Parquet";"JA/AttJ Siège autres";"JA/AttJ Social"}))+
SUM(SUMIFS(
INDEX( 'ETPT Format DDG'!$A:$ZZ,,MATCH("8. TOTAL CORRECTIONNEL",'ETPT Format DDG'!2:2,0)),
INDEX( 'ETPT Format DDG'!$A:$ZZ,,MATCH("Fonction recodée",'ETPT Format DDG'!2:2,0)),{"JA/AttJ Parquet";"JA/AttJ Siège autres";"JA/AttJ Social"}))+
SUM(SUMIFS(
INDEX( 'ETPT Format DDG'!$A:$ZZ,,MATCH("9. TOTAL INSTRUCTION ET ENTRAIDE",'ETPT Format DDG'!2:2,0)),
INDEX( 'ETPT Format DDG'!$A:$ZZ,,MATCH("Fonction recodée",'ETPT Format DDG'!2:2,0)),{"JA/AttJ Parquet";"JA/AttJ Siège autres";"JA/AttJ Social"}))+
SUM(SUMIFS(
INDEX( 'ETPT Format DDG'!$A:$ZZ,,MATCH("10. TOTAL APPLICATION DES PEINES",'ETPT Format DDG'!2:2,0)),
INDEX( 'ETPT Format DDG'!$A:$ZZ,,MATCH("Fonction recodée",'ETPT Format DDG'!2:2,0)),{"JA/AttJ Parquet";"JA/AttJ Siège autres";"JA/AttJ Social"}))+
SUM(SUMIFS(
INDEX( 'ETPT Format DDG'!$A:$ZZ,,MATCH("11. TOTAL CONTENTIEUX CRIMINEL",'ETPT Format DDG'!2:2,0)),
INDEX( 'ETPT Format DDG'!$A:$ZZ,,MATCH("Fonction recodée",'ETPT Format DDG'!2:2,0)),{"JA/AttJ Parquet";"JA/AttJ Siège autres";"JA/AttJ Social"}))</f>
        <v>#N/A</v>
      </c>
      <c r="H4" s="112" t="e" cm="1">
        <f t="array" ref="H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Social"}))</f>
        <v>#N/A</v>
      </c>
      <c r="N4" s="114">
        <f>_xlfn.AGGREGATE(9,6,D4:M4)</f>
        <v>0</v>
      </c>
    </row>
    <row r="5" spans="1:14" x14ac:dyDescent="0.2">
      <c r="A5" s="118" t="s">
        <v>191</v>
      </c>
      <c r="B5" s="117" t="s">
        <v>53</v>
      </c>
      <c r="C5" s="117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Social"))</f>
        <v>#N/A</v>
      </c>
      <c r="G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H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N5" s="114">
        <f t="shared" ref="N5:N9" si="0">_xlfn.AGGREGATE(9,6,D5:M5)</f>
        <v>0</v>
      </c>
    </row>
    <row r="6" spans="1:14" x14ac:dyDescent="0.2">
      <c r="A6" s="118" t="s">
        <v>192</v>
      </c>
      <c r="B6" s="117" t="s">
        <v>51</v>
      </c>
      <c r="C6" s="117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Social"))+
SUM(SUMIFS(
INDEX( 'ETPT Format DDG'!$A:$ZZ,,MATCH("13.13. COMMUNICATION",'ETPT Format DDG'!2:2,0)),
INDEX( 'ETPT Format DDG'!$A:$ZZ,,MATCH("Fonction recodée",'ETPT Format DDG'!2:2,0)),"JA/AttJ Social"))+
SUM(SUMIFS(
INDEX( 'ETPT Format DDG'!$A:$ZZ,,MATCH("13.12. ÉQUIPEMENT",'ETPT Format DDG'!2:2,0)),
INDEX( 'ETPT Format DDG'!$A:$ZZ,,MATCH("Fonction recodée",'ETPT Format DDG'!2:2,0)),"JA/AttJ Social"))+
SUM(SUMIFS(
INDEX( 'ETPT Format DDG'!$A:$ZZ,,MATCH("13.5. EXPERTISES (SUIVI ET LISTES)",'ETPT Format DDG'!2:2,0)),
INDEX( 'ETPT Format DDG'!$A:$ZZ,,MATCH("Fonction recodée",'ETPT Format DDG'!2:2,0)),"JA/AttJ Social"))+
SUM(SUMIFS(
INDEX( 'ETPT Format DDG'!$A:$ZZ,,MATCH("13.2. FORMATIONS SUIVIES",'ETPT Format DDG'!2:2,0)),
INDEX( 'ETPT Format DDG'!$A:$ZZ,,MATCH("Fonction recodée",'ETPT Format DDG'!2:2,0)),"JA/AttJ Social"))+
SUM(SUMIFS(
INDEX( 'ETPT Format DDG'!$A:$ZZ,,MATCH("13.6. MÉDIATION / CONCILIATION (SUIVI ET LISTES)",'ETPT Format DDG'!2:2,0)),
INDEX( 'ETPT Format DDG'!$A:$ZZ,,MATCH("Fonction recodée",'ETPT Format DDG'!2:2,0)),"JA/AttJ Social"))+
SUM(SUMIFS(
INDEX( 'ETPT Format DDG'!$A:$ZZ,,MATCH("13.14. POLITIQUE ASSOCIATIVE ET AIDE AUX VICTIMES",'ETPT Format DDG'!2:2,0)),
INDEX( 'ETPT Format DDG'!$A:$ZZ,,MATCH("Fonction recodée",'ETPT Format DDG'!2:2,0)),"JA/AttJ Social"))+
SUM(SUMIFS(
INDEX( 'ETPT Format DDG'!$A:$ZZ,,MATCH("13.1. SOUTIEN (AUTRES)",'ETPT Format DDG'!2:2,0)),
INDEX( 'ETPT Format DDG'!$A:$ZZ,,MATCH("Fonction recodée",'ETPT Format DDG'!2:2,0)),"JA/AttJ Social"))+
SUM(SUMIFS(
INDEX( 'ETPT Format DDG'!$A:$ZZ,,MATCH("13.15. AUTRES ACTIVITÉS NON JURIDICTIONNELLES",'ETPT Format DDG'!2:2,0)),
INDEX( 'ETPT Format DDG'!$A:$ZZ,,MATCH("Fonction recodée",'ETPT Format DDG'!2:2,0)),"JA/AttJ Social"))</f>
        <v>#N/A</v>
      </c>
      <c r="G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N6" s="114">
        <f t="shared" si="0"/>
        <v>0</v>
      </c>
    </row>
    <row r="7" spans="1:14" x14ac:dyDescent="0.2">
      <c r="A7" s="118" t="s">
        <v>193</v>
      </c>
      <c r="B7" s="117" t="s">
        <v>49</v>
      </c>
      <c r="C7" s="117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Social"))</f>
        <v>#N/A</v>
      </c>
      <c r="G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H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N7" s="114">
        <f t="shared" si="0"/>
        <v>0</v>
      </c>
    </row>
    <row r="8" spans="1:14" x14ac:dyDescent="0.2">
      <c r="A8" s="118" t="s">
        <v>194</v>
      </c>
      <c r="B8" s="117" t="s">
        <v>47</v>
      </c>
      <c r="C8" s="117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Social"))</f>
        <v>#N/A</v>
      </c>
      <c r="G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H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N8" s="114">
        <f t="shared" si="0"/>
        <v>0</v>
      </c>
    </row>
    <row r="9" spans="1:14" x14ac:dyDescent="0.2">
      <c r="A9" s="118" t="s">
        <v>195</v>
      </c>
      <c r="B9" s="117" t="s">
        <v>45</v>
      </c>
      <c r="C9" s="117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Social"))-
SUM(SUMIFS(
INDEX( 'ETPT Format DDG'!$A:$ZZ,,MATCH("14.9. MISE À DISPOSITION",'ETPT Format DDG'!2:2,0)),
INDEX( 'ETPT Format DDG'!$A:$ZZ,,MATCH("Fonction recodée",'ETPT Format DDG'!2:2,0)),"JA/AttJ Social"))</f>
        <v>#N/A</v>
      </c>
      <c r="G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H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N9" s="114">
        <f t="shared" si="0"/>
        <v>0</v>
      </c>
    </row>
    <row r="10" spans="1:14" ht="17" customHeight="1" x14ac:dyDescent="0.2">
      <c r="A10" s="118" t="s">
        <v>196</v>
      </c>
      <c r="B10" s="117" t="s">
        <v>43</v>
      </c>
      <c r="C10" s="117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Social"))</f>
        <v>#N/A</v>
      </c>
      <c r="G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H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N10" s="114">
        <f>_xlfn.AGGREGATE(9,6,D10:M10)</f>
        <v>0</v>
      </c>
    </row>
    <row r="11" spans="1:14" x14ac:dyDescent="0.2">
      <c r="C11" s="116" t="s">
        <v>37</v>
      </c>
      <c r="D11" s="114">
        <f>_xlfn.AGGREGATE(9,6,D3:D10)</f>
        <v>0</v>
      </c>
      <c r="E11" s="114">
        <f t="shared" ref="E11:M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>_xlfn.AGGREGATE(9,6,N3:N10)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N11"/>
  <sheetViews>
    <sheetView zoomScaleNormal="100" workbookViewId="0">
      <selection activeCell="A3" sqref="A3"/>
    </sheetView>
  </sheetViews>
  <sheetFormatPr baseColWidth="10" defaultRowHeight="15" x14ac:dyDescent="0.2"/>
  <cols>
    <col min="1" max="1" width="14.1640625" customWidth="1"/>
    <col min="3" max="3" width="59.83203125" customWidth="1"/>
    <col min="4" max="13" width="20.1640625" customWidth="1"/>
  </cols>
  <sheetData>
    <row r="1" spans="1:14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4" x14ac:dyDescent="0.2">
      <c r="A2" s="128" t="s">
        <v>32</v>
      </c>
      <c r="B2" s="128" t="s">
        <v>146</v>
      </c>
      <c r="C2" s="12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30" t="s">
        <v>138</v>
      </c>
    </row>
    <row r="3" spans="1:14" x14ac:dyDescent="0.2">
      <c r="A3" s="118" t="str">
        <f>ETPT_CA_JUR_DDG!D3</f>
        <v>A</v>
      </c>
      <c r="B3" s="96" t="s">
        <v>59</v>
      </c>
      <c r="C3" s="96" t="s">
        <v>58</v>
      </c>
      <c r="D3" s="136" t="str">
        <f>IF(ISERROR(ETPT_ATTACHES_JUSTICE!D3),"",IF(ETPT_ATTACHES_JUSTICE!D3=0,"",ETPT_ATTACHES_JUSTICE!D3))</f>
        <v/>
      </c>
      <c r="E3" s="136" t="str">
        <f>IF(ISERROR(ETPT_ATTACHES_JUSTICE!E3),"",IF(ETPT_ATTACHES_JUSTICE!E3=0,"",ETPT_ATTACHES_JUSTICE!E3))</f>
        <v/>
      </c>
      <c r="F3" s="136" t="str">
        <f>IF(ISERROR(ETPT_ATTACHES_JUSTICE!F3),"",IF(ETPT_ATTACHES_JUSTICE!F3=0,"",ETPT_ATTACHES_JUSTICE!F3))</f>
        <v/>
      </c>
      <c r="G3" s="136" t="str">
        <f>IF(ISERROR(ETPT_ATTACHES_JUSTICE!G3),"",IF(ETPT_ATTACHES_JUSTICE!G3=0,"",ETPT_ATTACHES_JUSTICE!G3))</f>
        <v/>
      </c>
      <c r="H3" s="136" t="str">
        <f>IF(ISERROR(ETPT_ATTACHES_JUSTICE!H3),"",IF(ETPT_ATTACHES_JUSTICE!H3=0,"",ETPT_ATTACHES_JUSTICE!H3))</f>
        <v/>
      </c>
      <c r="I3" s="136" t="str">
        <f>IF(ISERROR(ETPT_ATTACHES_JUSTICE!I3),"",IF(ETPT_ATTACHES_JUSTICE!I3=0,"",ETPT_ATTACHES_JUSTICE!I3))</f>
        <v/>
      </c>
      <c r="J3" s="136" t="str">
        <f>IF(ISERROR(ETPT_ATTACHES_JUSTICE!J3),"",IF(ETPT_ATTACHES_JUSTICE!J3=0,"",ETPT_ATTACHES_JUSTICE!J3))</f>
        <v/>
      </c>
      <c r="K3" s="136" t="str">
        <f>IF(ISERROR(ETPT_ATTACHES_JUSTICE!K3),"",IF(ETPT_ATTACHES_JUSTICE!K3=0,"",ETPT_ATTACHES_JUSTICE!K3))</f>
        <v/>
      </c>
      <c r="L3" s="136" t="str">
        <f>IF(ISERROR(ETPT_ATTACHES_JUSTICE!L3),"",IF(ETPT_ATTACHES_JUSTICE!L3=0,"",ETPT_ATTACHES_JUSTICE!L3))</f>
        <v/>
      </c>
      <c r="M3" s="136" t="str">
        <f>IF(ISERROR(ETPT_ATTACHES_JUSTICE!M3),"",IF(ETPT_ATTACHES_JUSTICE!M3=0,"",ETPT_ATTACHES_JUSTICE!M3))</f>
        <v/>
      </c>
      <c r="N3" s="142">
        <f>ETPT_ATTACHES_JUSTICE!N3</f>
        <v>0</v>
      </c>
    </row>
    <row r="4" spans="1:14" x14ac:dyDescent="0.2">
      <c r="A4" s="118" t="str">
        <f>$A$3</f>
        <v>A</v>
      </c>
      <c r="B4" s="96" t="s">
        <v>57</v>
      </c>
      <c r="C4" s="96" t="s">
        <v>56</v>
      </c>
      <c r="D4" s="136" t="str">
        <f>IF(ISERROR(ETPT_ATTACHES_JUSTICE!D4),"",IF(ETPT_ATTACHES_JUSTICE!D4=0,"",ETPT_ATTACHES_JUSTICE!D4))</f>
        <v/>
      </c>
      <c r="E4" s="136" t="str">
        <f>IF(ISERROR(ETPT_ATTACHES_JUSTICE!E4),"",IF(ETPT_ATTACHES_JUSTICE!E4=0,"",ETPT_ATTACHES_JUSTICE!E4))</f>
        <v/>
      </c>
      <c r="F4" s="136" t="str">
        <f>IF(ISERROR(ETPT_ATTACHES_JUSTICE!F4),"",IF(ETPT_ATTACHES_JUSTICE!F4=0,"",ETPT_ATTACHES_JUSTICE!F4))</f>
        <v/>
      </c>
      <c r="G4" s="136" t="str">
        <f>IF(ISERROR(ETPT_ATTACHES_JUSTICE!G4),"",IF(ETPT_ATTACHES_JUSTICE!G4=0,"",ETPT_ATTACHES_JUSTICE!G4))</f>
        <v/>
      </c>
      <c r="H4" s="136" t="str">
        <f>IF(ISERROR(ETPT_ATTACHES_JUSTICE!H4),"",IF(ETPT_ATTACHES_JUSTICE!H4=0,"",ETPT_ATTACHES_JUSTICE!H4))</f>
        <v/>
      </c>
      <c r="I4" s="136" t="str">
        <f>IF(ISERROR(ETPT_ATTACHES_JUSTICE!I4),"",IF(ETPT_ATTACHES_JUSTICE!I4=0,"",ETPT_ATTACHES_JUSTICE!I4))</f>
        <v/>
      </c>
      <c r="J4" s="136" t="str">
        <f>IF(ISERROR(ETPT_ATTACHES_JUSTICE!J4),"",IF(ETPT_ATTACHES_JUSTICE!J4=0,"",ETPT_ATTACHES_JUSTICE!J4))</f>
        <v/>
      </c>
      <c r="K4" s="136" t="str">
        <f>IF(ISERROR(ETPT_ATTACHES_JUSTICE!K4),"",IF(ETPT_ATTACHES_JUSTICE!K4=0,"",ETPT_ATTACHES_JUSTICE!K4))</f>
        <v/>
      </c>
      <c r="L4" s="136" t="str">
        <f>IF(ISERROR(ETPT_ATTACHES_JUSTICE!L4),"",IF(ETPT_ATTACHES_JUSTICE!L4=0,"",ETPT_ATTACHES_JUSTICE!L4))</f>
        <v/>
      </c>
      <c r="M4" s="136" t="str">
        <f>IF(ISERROR(ETPT_ATTACHES_JUSTICE!M4),"",IF(ETPT_ATTACHES_JUSTICE!M4=0,"",ETPT_ATTACHES_JUSTICE!M4))</f>
        <v/>
      </c>
      <c r="N4" s="142">
        <f>ETPT_ATTACHES_JUSTICE!N4</f>
        <v>0</v>
      </c>
    </row>
    <row r="5" spans="1:14" x14ac:dyDescent="0.2">
      <c r="A5" s="118" t="str">
        <f t="shared" ref="A5:A10" si="0">$A$3</f>
        <v>A</v>
      </c>
      <c r="B5" s="96" t="s">
        <v>53</v>
      </c>
      <c r="C5" s="96" t="s">
        <v>52</v>
      </c>
      <c r="D5" s="136" t="str">
        <f>IF(ISERROR(ETPT_ATTACHES_JUSTICE!D5),"",IF(ETPT_ATTACHES_JUSTICE!D5=0,"",ETPT_ATTACHES_JUSTICE!D5))</f>
        <v/>
      </c>
      <c r="E5" s="136" t="str">
        <f>IF(ISERROR(ETPT_ATTACHES_JUSTICE!E5),"",IF(ETPT_ATTACHES_JUSTICE!E5=0,"",ETPT_ATTACHES_JUSTICE!E5))</f>
        <v/>
      </c>
      <c r="F5" s="136" t="str">
        <f>IF(ISERROR(ETPT_ATTACHES_JUSTICE!F5),"",IF(ETPT_ATTACHES_JUSTICE!F5=0,"",ETPT_ATTACHES_JUSTICE!F5))</f>
        <v/>
      </c>
      <c r="G5" s="136" t="str">
        <f>IF(ISERROR(ETPT_ATTACHES_JUSTICE!G5),"",IF(ETPT_ATTACHES_JUSTICE!G5=0,"",ETPT_ATTACHES_JUSTICE!G5))</f>
        <v/>
      </c>
      <c r="H5" s="136" t="str">
        <f>IF(ISERROR(ETPT_ATTACHES_JUSTICE!H5),"",IF(ETPT_ATTACHES_JUSTICE!H5=0,"",ETPT_ATTACHES_JUSTICE!H5))</f>
        <v/>
      </c>
      <c r="I5" s="136" t="str">
        <f>IF(ISERROR(ETPT_ATTACHES_JUSTICE!I5),"",IF(ETPT_ATTACHES_JUSTICE!I5=0,"",ETPT_ATTACHES_JUSTICE!I5))</f>
        <v/>
      </c>
      <c r="J5" s="136" t="str">
        <f>IF(ISERROR(ETPT_ATTACHES_JUSTICE!J5),"",IF(ETPT_ATTACHES_JUSTICE!J5=0,"",ETPT_ATTACHES_JUSTICE!J5))</f>
        <v/>
      </c>
      <c r="K5" s="136" t="str">
        <f>IF(ISERROR(ETPT_ATTACHES_JUSTICE!K5),"",IF(ETPT_ATTACHES_JUSTICE!K5=0,"",ETPT_ATTACHES_JUSTICE!K5))</f>
        <v/>
      </c>
      <c r="L5" s="136" t="str">
        <f>IF(ISERROR(ETPT_ATTACHES_JUSTICE!L5),"",IF(ETPT_ATTACHES_JUSTICE!L5=0,"",ETPT_ATTACHES_JUSTICE!L5))</f>
        <v/>
      </c>
      <c r="M5" s="136" t="str">
        <f>IF(ISERROR(ETPT_ATTACHES_JUSTICE!M5),"",IF(ETPT_ATTACHES_JUSTICE!M5=0,"",ETPT_ATTACHES_JUSTICE!M5))</f>
        <v/>
      </c>
      <c r="N5" s="142">
        <f>ETPT_ATTACHES_JUSTICE!N5</f>
        <v>0</v>
      </c>
    </row>
    <row r="6" spans="1:14" x14ac:dyDescent="0.2">
      <c r="A6" s="118" t="str">
        <f t="shared" si="0"/>
        <v>A</v>
      </c>
      <c r="B6" s="96" t="s">
        <v>51</v>
      </c>
      <c r="C6" s="96" t="s">
        <v>50</v>
      </c>
      <c r="D6" s="136" t="str">
        <f>IF(ISERROR(ETPT_ATTACHES_JUSTICE!D6),"",IF(ETPT_ATTACHES_JUSTICE!D6=0,"",ETPT_ATTACHES_JUSTICE!D6))</f>
        <v/>
      </c>
      <c r="E6" s="136" t="str">
        <f>IF(ISERROR(ETPT_ATTACHES_JUSTICE!E6),"",IF(ETPT_ATTACHES_JUSTICE!E6=0,"",ETPT_ATTACHES_JUSTICE!E6))</f>
        <v/>
      </c>
      <c r="F6" s="136" t="str">
        <f>IF(ISERROR(ETPT_ATTACHES_JUSTICE!F6),"",IF(ETPT_ATTACHES_JUSTICE!F6=0,"",ETPT_ATTACHES_JUSTICE!F6))</f>
        <v/>
      </c>
      <c r="G6" s="136" t="str">
        <f>IF(ISERROR(ETPT_ATTACHES_JUSTICE!G6),"",IF(ETPT_ATTACHES_JUSTICE!G6=0,"",ETPT_ATTACHES_JUSTICE!G6))</f>
        <v/>
      </c>
      <c r="H6" s="136" t="str">
        <f>IF(ISERROR(ETPT_ATTACHES_JUSTICE!H6),"",IF(ETPT_ATTACHES_JUSTICE!H6=0,"",ETPT_ATTACHES_JUSTICE!H6))</f>
        <v/>
      </c>
      <c r="I6" s="136" t="str">
        <f>IF(ISERROR(ETPT_ATTACHES_JUSTICE!I6),"",IF(ETPT_ATTACHES_JUSTICE!I6=0,"",ETPT_ATTACHES_JUSTICE!I6))</f>
        <v/>
      </c>
      <c r="J6" s="136" t="str">
        <f>IF(ISERROR(ETPT_ATTACHES_JUSTICE!J6),"",IF(ETPT_ATTACHES_JUSTICE!J6=0,"",ETPT_ATTACHES_JUSTICE!J6))</f>
        <v/>
      </c>
      <c r="K6" s="136" t="str">
        <f>IF(ISERROR(ETPT_ATTACHES_JUSTICE!K6),"",IF(ETPT_ATTACHES_JUSTICE!K6=0,"",ETPT_ATTACHES_JUSTICE!K6))</f>
        <v/>
      </c>
      <c r="L6" s="136" t="str">
        <f>IF(ISERROR(ETPT_ATTACHES_JUSTICE!L6),"",IF(ETPT_ATTACHES_JUSTICE!L6=0,"",ETPT_ATTACHES_JUSTICE!L6))</f>
        <v/>
      </c>
      <c r="M6" s="136" t="str">
        <f>IF(ISERROR(ETPT_ATTACHES_JUSTICE!M6),"",IF(ETPT_ATTACHES_JUSTICE!M6=0,"",ETPT_ATTACHES_JUSTICE!M6))</f>
        <v/>
      </c>
      <c r="N6" s="142">
        <f>ETPT_ATTACHES_JUSTICE!N6</f>
        <v>0</v>
      </c>
    </row>
    <row r="7" spans="1:14" x14ac:dyDescent="0.2">
      <c r="A7" s="118" t="str">
        <f t="shared" si="0"/>
        <v>A</v>
      </c>
      <c r="B7" s="96" t="s">
        <v>49</v>
      </c>
      <c r="C7" s="96" t="s">
        <v>48</v>
      </c>
      <c r="D7" s="136" t="str">
        <f>IF(ISERROR(ETPT_ATTACHES_JUSTICE!D7),"",IF(ETPT_ATTACHES_JUSTICE!D7=0,"",ETPT_ATTACHES_JUSTICE!D7))</f>
        <v/>
      </c>
      <c r="E7" s="136" t="str">
        <f>IF(ISERROR(ETPT_ATTACHES_JUSTICE!E7),"",IF(ETPT_ATTACHES_JUSTICE!E7=0,"",ETPT_ATTACHES_JUSTICE!E7))</f>
        <v/>
      </c>
      <c r="F7" s="136" t="str">
        <f>IF(ISERROR(ETPT_ATTACHES_JUSTICE!F7),"",IF(ETPT_ATTACHES_JUSTICE!F7=0,"",ETPT_ATTACHES_JUSTICE!F7))</f>
        <v/>
      </c>
      <c r="G7" s="136" t="str">
        <f>IF(ISERROR(ETPT_ATTACHES_JUSTICE!G7),"",IF(ETPT_ATTACHES_JUSTICE!G7=0,"",ETPT_ATTACHES_JUSTICE!G7))</f>
        <v/>
      </c>
      <c r="H7" s="136" t="str">
        <f>IF(ISERROR(ETPT_ATTACHES_JUSTICE!H7),"",IF(ETPT_ATTACHES_JUSTICE!H7=0,"",ETPT_ATTACHES_JUSTICE!H7))</f>
        <v/>
      </c>
      <c r="I7" s="136" t="str">
        <f>IF(ISERROR(ETPT_ATTACHES_JUSTICE!I7),"",IF(ETPT_ATTACHES_JUSTICE!I7=0,"",ETPT_ATTACHES_JUSTICE!I7))</f>
        <v/>
      </c>
      <c r="J7" s="136" t="str">
        <f>IF(ISERROR(ETPT_ATTACHES_JUSTICE!J7),"",IF(ETPT_ATTACHES_JUSTICE!J7=0,"",ETPT_ATTACHES_JUSTICE!J7))</f>
        <v/>
      </c>
      <c r="K7" s="136" t="str">
        <f>IF(ISERROR(ETPT_ATTACHES_JUSTICE!K7),"",IF(ETPT_ATTACHES_JUSTICE!K7=0,"",ETPT_ATTACHES_JUSTICE!K7))</f>
        <v/>
      </c>
      <c r="L7" s="136" t="str">
        <f>IF(ISERROR(ETPT_ATTACHES_JUSTICE!L7),"",IF(ETPT_ATTACHES_JUSTICE!L7=0,"",ETPT_ATTACHES_JUSTICE!L7))</f>
        <v/>
      </c>
      <c r="M7" s="136" t="str">
        <f>IF(ISERROR(ETPT_ATTACHES_JUSTICE!M7),"",IF(ETPT_ATTACHES_JUSTICE!M7=0,"",ETPT_ATTACHES_JUSTICE!M7))</f>
        <v/>
      </c>
      <c r="N7" s="142">
        <f>ETPT_ATTACHES_JUSTICE!N7</f>
        <v>0</v>
      </c>
    </row>
    <row r="8" spans="1:14" x14ac:dyDescent="0.2">
      <c r="A8" s="118" t="str">
        <f t="shared" si="0"/>
        <v>A</v>
      </c>
      <c r="B8" s="96" t="s">
        <v>47</v>
      </c>
      <c r="C8" s="96" t="s">
        <v>46</v>
      </c>
      <c r="D8" s="136" t="str">
        <f>IF(ISERROR(ETPT_ATTACHES_JUSTICE!D8),"",IF(ETPT_ATTACHES_JUSTICE!D8=0,"",ETPT_ATTACHES_JUSTICE!D8))</f>
        <v/>
      </c>
      <c r="E8" s="136" t="str">
        <f>IF(ISERROR(ETPT_ATTACHES_JUSTICE!E8),"",IF(ETPT_ATTACHES_JUSTICE!E8=0,"",ETPT_ATTACHES_JUSTICE!E8))</f>
        <v/>
      </c>
      <c r="F8" s="136" t="str">
        <f>IF(ISERROR(ETPT_ATTACHES_JUSTICE!F8),"",IF(ETPT_ATTACHES_JUSTICE!F8=0,"",ETPT_ATTACHES_JUSTICE!F8))</f>
        <v/>
      </c>
      <c r="G8" s="136" t="str">
        <f>IF(ISERROR(ETPT_ATTACHES_JUSTICE!G8),"",IF(ETPT_ATTACHES_JUSTICE!G8=0,"",ETPT_ATTACHES_JUSTICE!G8))</f>
        <v/>
      </c>
      <c r="H8" s="136" t="str">
        <f>IF(ISERROR(ETPT_ATTACHES_JUSTICE!H8),"",IF(ETPT_ATTACHES_JUSTICE!H8=0,"",ETPT_ATTACHES_JUSTICE!H8))</f>
        <v/>
      </c>
      <c r="I8" s="136" t="str">
        <f>IF(ISERROR(ETPT_ATTACHES_JUSTICE!I8),"",IF(ETPT_ATTACHES_JUSTICE!I8=0,"",ETPT_ATTACHES_JUSTICE!I8))</f>
        <v/>
      </c>
      <c r="J8" s="136" t="str">
        <f>IF(ISERROR(ETPT_ATTACHES_JUSTICE!J8),"",IF(ETPT_ATTACHES_JUSTICE!J8=0,"",ETPT_ATTACHES_JUSTICE!J8))</f>
        <v/>
      </c>
      <c r="K8" s="136" t="str">
        <f>IF(ISERROR(ETPT_ATTACHES_JUSTICE!K8),"",IF(ETPT_ATTACHES_JUSTICE!K8=0,"",ETPT_ATTACHES_JUSTICE!K8))</f>
        <v/>
      </c>
      <c r="L8" s="136" t="str">
        <f>IF(ISERROR(ETPT_ATTACHES_JUSTICE!L8),"",IF(ETPT_ATTACHES_JUSTICE!L8=0,"",ETPT_ATTACHES_JUSTICE!L8))</f>
        <v/>
      </c>
      <c r="M8" s="136" t="str">
        <f>IF(ISERROR(ETPT_ATTACHES_JUSTICE!M8),"",IF(ETPT_ATTACHES_JUSTICE!M8=0,"",ETPT_ATTACHES_JUSTICE!M8))</f>
        <v/>
      </c>
      <c r="N8" s="142">
        <f>ETPT_ATTACHES_JUSTICE!N8</f>
        <v>0</v>
      </c>
    </row>
    <row r="9" spans="1:14" x14ac:dyDescent="0.2">
      <c r="A9" s="118" t="str">
        <f t="shared" si="0"/>
        <v>A</v>
      </c>
      <c r="B9" s="96" t="s">
        <v>45</v>
      </c>
      <c r="C9" s="96" t="s">
        <v>44</v>
      </c>
      <c r="D9" s="136" t="str">
        <f>IF(ISERROR(ETPT_ATTACHES_JUSTICE!D9),"",IF(ETPT_ATTACHES_JUSTICE!D9=0,"",ETPT_ATTACHES_JUSTICE!D9))</f>
        <v/>
      </c>
      <c r="E9" s="136" t="str">
        <f>IF(ISERROR(ETPT_ATTACHES_JUSTICE!E9),"",IF(ETPT_ATTACHES_JUSTICE!E9=0,"",ETPT_ATTACHES_JUSTICE!E9))</f>
        <v/>
      </c>
      <c r="F9" s="136" t="str">
        <f>IF(ISERROR(ETPT_ATTACHES_JUSTICE!F9),"",IF(ETPT_ATTACHES_JUSTICE!F9=0,"",ETPT_ATTACHES_JUSTICE!F9))</f>
        <v/>
      </c>
      <c r="G9" s="136" t="str">
        <f>IF(ISERROR(ETPT_ATTACHES_JUSTICE!G9),"",IF(ETPT_ATTACHES_JUSTICE!G9=0,"",ETPT_ATTACHES_JUSTICE!G9))</f>
        <v/>
      </c>
      <c r="H9" s="136" t="str">
        <f>IF(ISERROR(ETPT_ATTACHES_JUSTICE!H9),"",IF(ETPT_ATTACHES_JUSTICE!H9=0,"",ETPT_ATTACHES_JUSTICE!H9))</f>
        <v/>
      </c>
      <c r="I9" s="136" t="str">
        <f>IF(ISERROR(ETPT_ATTACHES_JUSTICE!I9),"",IF(ETPT_ATTACHES_JUSTICE!I9=0,"",ETPT_ATTACHES_JUSTICE!I9))</f>
        <v/>
      </c>
      <c r="J9" s="136" t="str">
        <f>IF(ISERROR(ETPT_ATTACHES_JUSTICE!J9),"",IF(ETPT_ATTACHES_JUSTICE!J9=0,"",ETPT_ATTACHES_JUSTICE!J9))</f>
        <v/>
      </c>
      <c r="K9" s="136" t="str">
        <f>IF(ISERROR(ETPT_ATTACHES_JUSTICE!K9),"",IF(ETPT_ATTACHES_JUSTICE!K9=0,"",ETPT_ATTACHES_JUSTICE!K9))</f>
        <v/>
      </c>
      <c r="L9" s="136" t="str">
        <f>IF(ISERROR(ETPT_ATTACHES_JUSTICE!L9),"",IF(ETPT_ATTACHES_JUSTICE!L9=0,"",ETPT_ATTACHES_JUSTICE!L9))</f>
        <v/>
      </c>
      <c r="M9" s="136" t="str">
        <f>IF(ISERROR(ETPT_ATTACHES_JUSTICE!M9),"",IF(ETPT_ATTACHES_JUSTICE!M9=0,"",ETPT_ATTACHES_JUSTICE!M9))</f>
        <v/>
      </c>
      <c r="N9" s="142">
        <f>ETPT_ATTACHES_JUSTICE!N9</f>
        <v>0</v>
      </c>
    </row>
    <row r="10" spans="1:14" x14ac:dyDescent="0.2">
      <c r="A10" s="118" t="str">
        <f t="shared" si="0"/>
        <v>A</v>
      </c>
      <c r="B10" s="96" t="s">
        <v>43</v>
      </c>
      <c r="C10" s="96" t="s">
        <v>42</v>
      </c>
      <c r="D10" s="136" t="str">
        <f>IF(ISERROR(ETPT_ATTACHES_JUSTICE!D10),"",IF(ETPT_ATTACHES_JUSTICE!D10=0,"",ETPT_ATTACHES_JUSTICE!D10))</f>
        <v/>
      </c>
      <c r="E10" s="136" t="str">
        <f>IF(ISERROR(ETPT_ATTACHES_JUSTICE!E10),"",IF(ETPT_ATTACHES_JUSTICE!E10=0,"",ETPT_ATTACHES_JUSTICE!E10))</f>
        <v/>
      </c>
      <c r="F10" s="136" t="str">
        <f>IF(ISERROR(ETPT_ATTACHES_JUSTICE!F10),"",IF(ETPT_ATTACHES_JUSTICE!F10=0,"",ETPT_ATTACHES_JUSTICE!F10))</f>
        <v/>
      </c>
      <c r="G10" s="136" t="str">
        <f>IF(ISERROR(ETPT_ATTACHES_JUSTICE!G10),"",IF(ETPT_ATTACHES_JUSTICE!G10=0,"",ETPT_ATTACHES_JUSTICE!G10))</f>
        <v/>
      </c>
      <c r="H10" s="136" t="str">
        <f>IF(ISERROR(ETPT_ATTACHES_JUSTICE!H10),"",IF(ETPT_ATTACHES_JUSTICE!H10=0,"",ETPT_ATTACHES_JUSTICE!H10))</f>
        <v/>
      </c>
      <c r="I10" s="136" t="str">
        <f>IF(ISERROR(ETPT_ATTACHES_JUSTICE!I10),"",IF(ETPT_ATTACHES_JUSTICE!I10=0,"",ETPT_ATTACHES_JUSTICE!I10))</f>
        <v/>
      </c>
      <c r="J10" s="136" t="str">
        <f>IF(ISERROR(ETPT_ATTACHES_JUSTICE!J10),"",IF(ETPT_ATTACHES_JUSTICE!J10=0,"",ETPT_ATTACHES_JUSTICE!J10))</f>
        <v/>
      </c>
      <c r="K10" s="136" t="str">
        <f>IF(ISERROR(ETPT_ATTACHES_JUSTICE!K10),"",IF(ETPT_ATTACHES_JUSTICE!K10=0,"",ETPT_ATTACHES_JUSTICE!K10))</f>
        <v/>
      </c>
      <c r="L10" s="136" t="str">
        <f>IF(ISERROR(ETPT_ATTACHES_JUSTICE!L10),"",IF(ETPT_ATTACHES_JUSTICE!L10=0,"",ETPT_ATTACHES_JUSTICE!L10))</f>
        <v/>
      </c>
      <c r="M10" s="136" t="str">
        <f>IF(ISERROR(ETPT_ATTACHES_JUSTICE!M10),"",IF(ETPT_ATTACHES_JUSTICE!M10=0,"",ETPT_ATTACHES_JUSTICE!M10))</f>
        <v/>
      </c>
      <c r="N10" s="142">
        <f>ETPT_ATTACHES_JUSTICE!N10</f>
        <v>0</v>
      </c>
    </row>
    <row r="11" spans="1:14" x14ac:dyDescent="0.2">
      <c r="A11" s="127"/>
      <c r="B11" s="127"/>
      <c r="C11" s="141" t="s">
        <v>37</v>
      </c>
      <c r="D11" s="142">
        <f>ETPT_ATTACHES_JUSTICE!D11</f>
        <v>0</v>
      </c>
      <c r="E11" s="142">
        <f>ETPT_ATTACHES_JUSTICE!E11</f>
        <v>0</v>
      </c>
      <c r="F11" s="142">
        <f>ETPT_ATTACHES_JUSTICE!F11</f>
        <v>0</v>
      </c>
      <c r="G11" s="142">
        <f>ETPT_ATTACHES_JUSTICE!G11</f>
        <v>0</v>
      </c>
      <c r="H11" s="142">
        <f>ETPT_ATTACHES_JUSTICE!H11</f>
        <v>0</v>
      </c>
      <c r="I11" s="142">
        <f>ETPT_ATTACHES_JUSTICE!I11</f>
        <v>0</v>
      </c>
      <c r="J11" s="142">
        <f>ETPT_ATTACHES_JUSTICE!J11</f>
        <v>0</v>
      </c>
      <c r="K11" s="142">
        <f>ETPT_ATTACHES_JUSTICE!K11</f>
        <v>0</v>
      </c>
      <c r="L11" s="142">
        <f>ETPT_ATTACHES_JUSTICE!L11</f>
        <v>0</v>
      </c>
      <c r="M11" s="142">
        <f>ETPT_ATTACHES_JUSTICE!M11</f>
        <v>0</v>
      </c>
      <c r="N11" s="142">
        <f>ETPT_ATTACHES_JUSTICE!N11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5" t="s">
        <v>107</v>
      </c>
      <c r="B1" s="205"/>
      <c r="C1" s="205"/>
      <c r="D1" s="205"/>
      <c r="E1" s="205"/>
      <c r="F1" s="153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2"/>
      <c r="I2" s="72" t="s">
        <v>70</v>
      </c>
      <c r="J2" s="72" t="s">
        <v>273</v>
      </c>
      <c r="K2" s="72" t="s">
        <v>68</v>
      </c>
      <c r="L2" s="72" t="s">
        <v>274</v>
      </c>
      <c r="M2" s="72" t="s">
        <v>110</v>
      </c>
      <c r="N2" s="72" t="s">
        <v>67</v>
      </c>
      <c r="O2" s="152"/>
      <c r="P2" s="72" t="s">
        <v>275</v>
      </c>
      <c r="Q2" s="72" t="s">
        <v>65</v>
      </c>
      <c r="R2" s="72" t="s">
        <v>276</v>
      </c>
      <c r="S2" s="72" t="s">
        <v>112</v>
      </c>
      <c r="T2" s="72" t="s">
        <v>64</v>
      </c>
      <c r="U2" s="152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268</v>
      </c>
      <c r="H3" s="71" t="e">
        <f>SUMIF(#REF!,#REF!,$G3:G3)</f>
        <v>#REF!</v>
      </c>
      <c r="I3" s="74" t="s">
        <v>197</v>
      </c>
      <c r="J3" s="155"/>
      <c r="K3" s="155"/>
      <c r="L3" s="155"/>
      <c r="M3" s="74" t="s">
        <v>198</v>
      </c>
      <c r="N3" s="74" t="s">
        <v>199</v>
      </c>
      <c r="O3" s="71" t="e">
        <f>SUMIF(#REF!,#REF!,$G3:N3)</f>
        <v>#REF!</v>
      </c>
      <c r="P3" s="155"/>
      <c r="Q3" s="155"/>
      <c r="R3" s="155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269</v>
      </c>
      <c r="H4" s="71" t="e">
        <f>SUMIF(#REF!,#REF!,$G4:G4)</f>
        <v>#REF!</v>
      </c>
      <c r="I4" s="156"/>
      <c r="J4" s="74" t="s">
        <v>202</v>
      </c>
      <c r="K4" s="74" t="s">
        <v>203</v>
      </c>
      <c r="L4" s="74" t="s">
        <v>204</v>
      </c>
      <c r="M4" s="155"/>
      <c r="N4" s="74" t="s">
        <v>287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5"/>
      <c r="T4" s="74" t="s">
        <v>289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7"/>
      <c r="H5" s="71" t="e">
        <f>SUMIF(#REF!,#REF!,$G5:G5)</f>
        <v>#REF!</v>
      </c>
      <c r="I5" s="157"/>
      <c r="J5" s="157"/>
      <c r="K5" s="157"/>
      <c r="L5" s="157"/>
      <c r="M5" s="157"/>
      <c r="N5" s="158"/>
      <c r="O5" s="71" t="e">
        <f>SUMIF(#REF!,#REF!,$G5:N5)</f>
        <v>#REF!</v>
      </c>
      <c r="P5" s="157"/>
      <c r="Q5" s="157"/>
      <c r="R5" s="157"/>
      <c r="S5" s="157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7"/>
      <c r="J6" s="157"/>
      <c r="K6" s="157"/>
      <c r="L6" s="157"/>
      <c r="M6" s="157"/>
      <c r="N6" s="74" t="s">
        <v>210</v>
      </c>
      <c r="O6" s="71" t="e">
        <f>SUMIF(#REF!,#REF!,$G6:N6)</f>
        <v>#REF!</v>
      </c>
      <c r="P6" s="157"/>
      <c r="Q6" s="157"/>
      <c r="R6" s="157"/>
      <c r="S6" s="157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7"/>
      <c r="J7" s="157"/>
      <c r="K7" s="157"/>
      <c r="L7" s="157"/>
      <c r="M7" s="157"/>
      <c r="N7" s="74" t="s">
        <v>213</v>
      </c>
      <c r="O7" s="71" t="e">
        <f>SUMIF(#REF!,#REF!,$G7:N7)</f>
        <v>#REF!</v>
      </c>
      <c r="P7" s="157"/>
      <c r="Q7" s="157"/>
      <c r="R7" s="157"/>
      <c r="S7" s="157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7"/>
      <c r="J8" s="157"/>
      <c r="K8" s="157"/>
      <c r="L8" s="157"/>
      <c r="M8" s="157"/>
      <c r="N8" s="74" t="s">
        <v>216</v>
      </c>
      <c r="O8" s="71" t="e">
        <f>SUMIF(#REF!,#REF!,$G8:N8)</f>
        <v>#REF!</v>
      </c>
      <c r="P8" s="157"/>
      <c r="Q8" s="157"/>
      <c r="R8" s="157"/>
      <c r="S8" s="157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7"/>
      <c r="J9" s="157"/>
      <c r="K9" s="157"/>
      <c r="L9" s="157"/>
      <c r="M9" s="157"/>
      <c r="N9" s="74" t="s">
        <v>219</v>
      </c>
      <c r="O9" s="71" t="e">
        <f>SUMIF(#REF!,#REF!,$G9:N9)</f>
        <v>#REF!</v>
      </c>
      <c r="P9" s="157"/>
      <c r="Q9" s="157"/>
      <c r="R9" s="157"/>
      <c r="S9" s="157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7"/>
      <c r="J10" s="157"/>
      <c r="K10" s="157"/>
      <c r="L10" s="157"/>
      <c r="M10" s="157"/>
      <c r="N10" s="74" t="s">
        <v>222</v>
      </c>
      <c r="O10" s="71" t="e">
        <f>SUMIF(#REF!,#REF!,$G10:N10)</f>
        <v>#REF!</v>
      </c>
      <c r="P10" s="157"/>
      <c r="Q10" s="157"/>
      <c r="R10" s="157"/>
      <c r="S10" s="157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7"/>
      <c r="J11" s="157"/>
      <c r="K11" s="157"/>
      <c r="L11" s="157"/>
      <c r="M11" s="157"/>
      <c r="N11" s="74" t="s">
        <v>225</v>
      </c>
      <c r="O11" s="71" t="e">
        <f>SUMIF(#REF!,#REF!,$G11:N11)</f>
        <v>#REF!</v>
      </c>
      <c r="P11" s="157"/>
      <c r="Q11" s="157"/>
      <c r="R11" s="157"/>
      <c r="S11" s="157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288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290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9"/>
      <c r="J13" s="160"/>
      <c r="K13" s="160"/>
      <c r="L13" s="160"/>
      <c r="M13" s="160"/>
      <c r="N13" s="90" t="s">
        <v>237</v>
      </c>
      <c r="O13" s="71" t="e">
        <f>SUMIF(#REF!,#REF!,$G13:N13)</f>
        <v>#REF!</v>
      </c>
      <c r="P13" s="160"/>
      <c r="Q13" s="160"/>
      <c r="R13" s="160"/>
      <c r="S13" s="160"/>
      <c r="T13" s="74" t="s">
        <v>270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4" t="s">
        <v>118</v>
      </c>
      <c r="G17" s="74" t="s">
        <v>271</v>
      </c>
      <c r="M17" s="144" t="s">
        <v>119</v>
      </c>
      <c r="N17" s="74" t="s">
        <v>272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6" t="s">
        <v>250</v>
      </c>
      <c r="B1" s="206"/>
      <c r="C1" s="206"/>
      <c r="D1" s="206"/>
      <c r="E1" s="120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1:16" x14ac:dyDescent="0.2">
      <c r="A2" s="121"/>
      <c r="B2" s="121"/>
      <c r="C2" s="121"/>
      <c r="D2" s="122"/>
      <c r="E2" s="123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7" t="s">
        <v>138</v>
      </c>
    </row>
    <row r="3" spans="1:16" x14ac:dyDescent="0.2">
      <c r="A3" s="121"/>
      <c r="B3" s="121"/>
      <c r="C3" s="121"/>
      <c r="D3" s="122"/>
      <c r="E3" s="123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7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277</v>
      </c>
      <c r="I4" s="108" t="s">
        <v>148</v>
      </c>
      <c r="J4" s="108" t="s">
        <v>149</v>
      </c>
      <c r="K4" s="108" t="s">
        <v>278</v>
      </c>
      <c r="L4" s="108" t="s">
        <v>279</v>
      </c>
      <c r="M4" s="108" t="s">
        <v>280</v>
      </c>
      <c r="N4" s="108" t="s">
        <v>281</v>
      </c>
      <c r="O4" s="108" t="s">
        <v>282</v>
      </c>
      <c r="P4" s="207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1" t="s">
        <v>152</v>
      </c>
      <c r="G5" s="161" t="s">
        <v>155</v>
      </c>
      <c r="H5" s="161" t="s">
        <v>151</v>
      </c>
      <c r="I5" s="161" t="s">
        <v>153</v>
      </c>
      <c r="J5" s="161" t="s">
        <v>154</v>
      </c>
      <c r="K5" s="162"/>
      <c r="L5" s="161"/>
      <c r="M5" s="161"/>
      <c r="N5" s="161"/>
      <c r="O5" s="161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1" t="s">
        <v>156</v>
      </c>
      <c r="G6" s="161" t="s">
        <v>159</v>
      </c>
      <c r="H6" s="162"/>
      <c r="I6" s="161" t="s">
        <v>157</v>
      </c>
      <c r="J6" s="161" t="s">
        <v>158</v>
      </c>
      <c r="K6" s="161"/>
      <c r="L6" s="161"/>
      <c r="M6" s="161"/>
      <c r="N6" s="161"/>
      <c r="O6" s="161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1" t="s">
        <v>161</v>
      </c>
      <c r="G7" s="161" t="s">
        <v>164</v>
      </c>
      <c r="H7" s="161" t="s">
        <v>160</v>
      </c>
      <c r="I7" s="161" t="s">
        <v>162</v>
      </c>
      <c r="J7" s="161" t="s">
        <v>163</v>
      </c>
      <c r="K7" s="161"/>
      <c r="L7" s="161"/>
      <c r="M7" s="161"/>
      <c r="N7" s="161"/>
      <c r="O7" s="161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1" t="s">
        <v>166</v>
      </c>
      <c r="G8" s="161" t="s">
        <v>169</v>
      </c>
      <c r="H8" s="161" t="s">
        <v>165</v>
      </c>
      <c r="I8" s="161" t="s">
        <v>167</v>
      </c>
      <c r="J8" s="161" t="s">
        <v>168</v>
      </c>
      <c r="K8" s="161"/>
      <c r="L8" s="161"/>
      <c r="M8" s="161"/>
      <c r="N8" s="161"/>
      <c r="O8" s="161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1" t="s">
        <v>171</v>
      </c>
      <c r="G9" s="161" t="s">
        <v>174</v>
      </c>
      <c r="H9" s="161" t="s">
        <v>170</v>
      </c>
      <c r="I9" s="161" t="s">
        <v>172</v>
      </c>
      <c r="J9" s="161" t="s">
        <v>173</v>
      </c>
      <c r="K9" s="161"/>
      <c r="L9" s="161"/>
      <c r="M9" s="161"/>
      <c r="N9" s="161"/>
      <c r="O9" s="161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1" t="s">
        <v>176</v>
      </c>
      <c r="G10" s="161" t="s">
        <v>179</v>
      </c>
      <c r="H10" s="161" t="s">
        <v>175</v>
      </c>
      <c r="I10" s="161" t="s">
        <v>177</v>
      </c>
      <c r="J10" s="161" t="s">
        <v>178</v>
      </c>
      <c r="K10" s="161"/>
      <c r="L10" s="161"/>
      <c r="M10" s="161"/>
      <c r="N10" s="161"/>
      <c r="O10" s="161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1" t="s">
        <v>181</v>
      </c>
      <c r="G11" s="161" t="s">
        <v>184</v>
      </c>
      <c r="H11" s="161" t="s">
        <v>180</v>
      </c>
      <c r="I11" s="161" t="s">
        <v>182</v>
      </c>
      <c r="J11" s="161" t="s">
        <v>183</v>
      </c>
      <c r="K11" s="161"/>
      <c r="L11" s="161"/>
      <c r="M11" s="161"/>
      <c r="N11" s="161"/>
      <c r="O11" s="161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1" t="s">
        <v>186</v>
      </c>
      <c r="G12" s="161" t="s">
        <v>189</v>
      </c>
      <c r="H12" s="161" t="s">
        <v>185</v>
      </c>
      <c r="I12" s="161" t="s">
        <v>187</v>
      </c>
      <c r="J12" s="161" t="s">
        <v>188</v>
      </c>
      <c r="K12" s="161"/>
      <c r="L12" s="161"/>
      <c r="M12" s="161"/>
      <c r="N12" s="161"/>
      <c r="O12" s="161"/>
      <c r="P12" s="114">
        <f>SUMIF($G$2:O$2,O$2,$G12:O12)</f>
        <v>0</v>
      </c>
    </row>
    <row r="13" spans="1:16" ht="28" x14ac:dyDescent="0.2">
      <c r="A13" s="124"/>
      <c r="B13" s="124"/>
      <c r="C13" s="125"/>
      <c r="D13" s="126"/>
      <c r="E13" s="116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4"/>
      <c r="B14" s="124"/>
      <c r="C14" s="124"/>
      <c r="D14" s="126"/>
      <c r="E14" s="145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</row>
    <row r="136" spans="1:17" ht="16" x14ac:dyDescent="0.2">
      <c r="A136" s="147"/>
      <c r="B136" s="147"/>
      <c r="C136" s="147"/>
      <c r="D136" s="148"/>
      <c r="E136" s="149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</row>
    <row r="137" spans="1:17" ht="16" x14ac:dyDescent="0.2">
      <c r="A137" s="147"/>
      <c r="B137" s="147"/>
      <c r="C137" s="147"/>
      <c r="D137" s="148"/>
      <c r="E137" s="149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</row>
    <row r="138" spans="1:17" ht="16" x14ac:dyDescent="0.2">
      <c r="A138" s="147"/>
      <c r="B138" s="147"/>
      <c r="C138" s="147"/>
      <c r="D138" s="148"/>
      <c r="E138" s="149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</row>
    <row r="139" spans="1:17" ht="16" x14ac:dyDescent="0.2">
      <c r="A139" s="147"/>
      <c r="B139" s="147"/>
      <c r="C139" s="147"/>
      <c r="D139" s="148"/>
      <c r="E139" s="149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</row>
    <row r="140" spans="1:17" ht="16" x14ac:dyDescent="0.2">
      <c r="A140" s="147"/>
      <c r="B140" s="147"/>
      <c r="C140" s="147"/>
      <c r="D140" s="148"/>
      <c r="E140" s="149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</row>
    <row r="141" spans="1:17" ht="16" x14ac:dyDescent="0.2">
      <c r="A141" s="147"/>
      <c r="B141" s="147"/>
      <c r="C141" s="147"/>
      <c r="D141" s="148"/>
      <c r="E141" s="149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</row>
    <row r="142" spans="1:17" ht="16" x14ac:dyDescent="0.2">
      <c r="A142" s="147"/>
      <c r="B142" s="147"/>
      <c r="C142" s="147"/>
      <c r="D142" s="148"/>
      <c r="E142" s="149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</row>
    <row r="143" spans="1:17" ht="16" x14ac:dyDescent="0.2">
      <c r="A143" s="147"/>
      <c r="B143" s="147"/>
      <c r="C143" s="147"/>
      <c r="D143" s="148"/>
      <c r="E143" s="149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</row>
    <row r="144" spans="1:17" ht="16" x14ac:dyDescent="0.2">
      <c r="A144" s="147"/>
      <c r="B144" s="147"/>
      <c r="C144" s="147"/>
      <c r="D144" s="148"/>
      <c r="E144" s="149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Jimmy CHEVALLIER</cp:lastModifiedBy>
  <dcterms:created xsi:type="dcterms:W3CDTF">2020-03-26T00:32:42Z</dcterms:created>
  <dcterms:modified xsi:type="dcterms:W3CDTF">2025-11-17T16:37:51Z</dcterms:modified>
  <cp:category/>
</cp:coreProperties>
</file>