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3ACA34D7-F6DA-E64A-8D56-65E7DB338BC3}" xr6:coauthVersionLast="47" xr6:coauthVersionMax="47" xr10:uidLastSave="{00000000-0000-0000-0000-000000000000}"/>
  <bookViews>
    <workbookView xWindow="20" yWindow="760" windowWidth="30220" windowHeight="15320" activeTab="11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1" l="1"/>
  <c r="H11" i="41"/>
  <c r="J11" i="41"/>
  <c r="K11" i="41"/>
  <c r="F3" i="41" a="1"/>
  <c r="F3" i="41" s="1"/>
  <c r="I4" i="41" a="1"/>
  <c r="I4" i="41" s="1"/>
  <c r="F4" i="41" a="1"/>
  <c r="F4" i="41" s="1"/>
  <c r="I3" i="41" a="1"/>
  <c r="I3" i="41" s="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<sst xmlns="http://schemas.openxmlformats.org/spreadsheetml/2006/main" count="602" uniqueCount="339">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</sst>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69" fontId="11" fillId="0" borderId="0" xfId="0" applyNumberFormat="1" applyFont="1" applyFill="1" applyBorder="1" applyAlignment="1">
      <alignment horizontal="center" vertical="center" wrapText="1"/>
    </xf>
    <xf numFmtId="169" fontId="11" fillId="0" borderId="11" xfId="0" applyNumberFormat="1" applyFont="1" applyFill="1" applyBorder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9" t="s">
        <v>85</v>
      </c>
      <c r="D1" s="179"/>
      <c r="E1" s="179"/>
      <c r="F1" s="49"/>
      <c r="H1" s="26" t="s">
        <v>0</v>
      </c>
    </row>
    <row r="2" spans="1:8" s="53" customFormat="1" ht="20" customHeight="1" x14ac:dyDescent="0.2">
      <c r="A2" s="50"/>
      <c r="B2" s="51"/>
      <c r="C2" s="180" t="s">
        <v>106</v>
      </c>
      <c r="D2" s="180"/>
      <c r="E2" s="18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4" t="s">
        <v>89</v>
      </c>
      <c r="F4" s="18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6" t="s">
        <v>100</v>
      </c>
      <c r="F5" s="187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88" t="s">
        <v>101</v>
      </c>
      <c r="F6" s="189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88" t="s">
        <v>100</v>
      </c>
      <c r="F7" s="18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7" t="s">
        <v>254</v>
      </c>
      <c r="D8" s="177" t="s">
        <v>98</v>
      </c>
      <c r="E8" s="190" t="s">
        <v>102</v>
      </c>
      <c r="F8" s="191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78"/>
      <c r="D9" s="178"/>
      <c r="E9" s="178"/>
      <c r="F9" s="17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3" t="s">
        <v>99</v>
      </c>
      <c r="D11" s="183"/>
      <c r="E11" s="18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1" t="s">
        <v>25</v>
      </c>
      <c r="B13" s="181"/>
      <c r="C13" s="181"/>
      <c r="D13" s="181"/>
      <c r="E13" s="181"/>
      <c r="F13" s="18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2" t="s">
        <v>278</v>
      </c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3" t="s">
        <v>26</v>
      </c>
      <c r="H4" s="194"/>
      <c r="I4" s="194"/>
      <c r="J4" s="194"/>
      <c r="K4" s="194"/>
      <c r="L4" s="195"/>
      <c r="M4" s="196"/>
      <c r="N4" s="197" t="s">
        <v>27</v>
      </c>
      <c r="O4" s="195"/>
      <c r="P4" s="195"/>
      <c r="Q4" s="195"/>
      <c r="R4" s="195"/>
      <c r="S4" s="195"/>
      <c r="T4" s="198"/>
      <c r="U4" s="193" t="s">
        <v>28</v>
      </c>
      <c r="V4" s="19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9" t="s">
        <v>119</v>
      </c>
      <c r="J17" s="199"/>
      <c r="K17" s="199"/>
      <c r="L17" s="199"/>
      <c r="M17" s="20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1" t="s">
        <v>119</v>
      </c>
      <c r="J17" s="202"/>
      <c r="K17" s="202"/>
      <c r="L17" s="202"/>
      <c r="M17" s="203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I1" zoomScaleNormal="100" workbookViewId="0">
      <selection activeCell="L1" sqref="L1:L1048576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autres"}))+
SUM(SUMIFS(
INDEX( 'ETPT Format DDG'!$A:$ZZ,,MATCH("2. TOTAL CONTENTIEUX COMMERCIAL",'ETPT Format DDG'!2:2,0)),
INDEX( 'ETPT Format DDG'!$A:$ZZ,,MATCH("Fonction recodée",'ETPT Format DDG'!2:2,0)),{"JA/AttJ Parquet";"JA/AttJ Siège autres"}))+
SUM(SUMIFS(
INDEX( 'ETPT Format DDG'!$A:$ZZ,,MATCH("3. TOTAL CONTENTIEUX DE LA FAMILLE",'ETPT Format DDG'!2:2,0)),
INDEX( 'ETPT Format DDG'!$A:$ZZ,,MATCH("Fonction recodée",'ETPT Format DDG'!2:2,0)),{"JA/AttJ Parquet";"JA/AttJ Siège autres"}))+
SUM(SUMIFS(
INDEX( 'ETPT Format DDG'!$A:$ZZ,,MATCH("4. TOTAL CONTENTIEUX DE LA PROTECTION",'ETPT Format DDG'!2:2,0)),
INDEX( 'ETPT Format DDG'!$A:$ZZ,,MATCH("Fonction recodée",'ETPT Format DDG'!2:2,0)),{"JA/AttJ Parquet";"JA/AttJ Siège autres"}))+
SUM(SUMIFS(
INDEX( 'ETPT Format DDG'!$A:$ZZ,,MATCH("5. TOTAL CONTENTIEUX CIVIL NON SPÉCIALISÉ",'ETPT Format DDG'!2:2,0)),
INDEX( 'ETPT Format DDG'!$A:$ZZ,,MATCH("Fonction recodée",'ETPT Format DDG'!2:2,0)),{"JA/AttJ Parquet";"JA/AttJ Siège autres"}))+
SUM(SUMIFS(
INDEX( 'ETPT Format DDG'!$A:$ZZ,,MATCH("12. TOTAL ATTRIBUTIONS DU PP",'ETPT Format DDG'!2:2,0)),
INDEX( 'ETPT Format DDG'!$A:$ZZ,,MATCH("Fonction recodée",'ETPT Format DDG'!2:2,0)),{"JA/AttJ Parquet";"JA/AttJ Siège autres"}))-
SUM(SUMIFS(
INDEX( 'ETPT Format DDG'!$A:$ZZ,,MATCH("12.5. EXTRADITIONS ET MAE",'ETPT Format DDG'!2:2,0)),
INDEX( 'ETPT Format DDG'!$A:$ZZ,,MATCH("Fonction recodée",'ETPT Format DDG'!2:2,0)),{"JA/AttJ Parquet";"JA/AttJ Siège autres"}))-
SUM(SUMIFS(
INDEX( 'ETPT Format DDG'!$A:$ZZ,,MATCH("12.6. SAISIES ET CONFISCATIONS DES AVOIRS CRIMINELS",'ETPT Format DDG'!2:2,0)),
INDEX( 'ETPT Format DDG'!$A:$ZZ,,MATCH("Fonction recodée",'ETPT Format DDG'!2:2,0)),{"JA/AttJ Parquet";"JA/AttJ Siège autres"}))-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DDG'!$A:$ZZ,,MATCH("7.1. ACTIVITÉ CIVILE",'ETPT Format DDG'!2:2,0)),
INDEX( 'ETPT Format DDG'!$A:$ZZ,,MATCH("Fonction recodée",'ETPT Format DDG'!2:2,0)),{"JA/AttJ Parquet";"JA/AttJ Siège autres"}))</f>
        <v>#N/A</v>
      </c>
      <c r="G3" s="208"/>
      <c r="H3" s="208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autres"}))</f>
        <v>#N/A</v>
      </c>
      <c r="J3" s="207"/>
      <c r="K3" s="207"/>
      <c r="P3" s="114">
        <f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autres"}))+
SUM(SUMIFS(
INDEX( 'ETPT Format DDG'!$A:$ZZ,,MATCH("12.6. SAISIES ET CONFISCATIONS DES AVOIRS CRIMINELS",'ETPT Format DDG'!2:2,0)),
INDEX( 'ETPT Format DDG'!$A:$ZZ,,MATCH("Fonction recodée",'ETPT Format DDG'!2:2,0)),{"JA/AttJ Parquet";"JA/AttJ Siège autres"}))+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DDG'!$A:$ZZ,,MATCH("7.2. ACTIVITÉ PÉNALE",'ETPT Format DDG'!2:2,0)),
INDEX( 'ETPT Format DDG'!$A:$ZZ,,MATCH("Fonction recodée",'ETPT Format DDG'!2:2,0)),{"JA/AttJ Parquet";"JA/AttJ Siège autres"}))+
SUM(SUMIFS(
INDEX( 'ETPT Format DDG'!$A:$ZZ,,MATCH("8. TOTAL CORRECTIONNEL",'ETPT Format DDG'!2:2,0)),
INDEX( 'ETPT Format DDG'!$A:$ZZ,,MATCH("Fonction recodée",'ETPT Format DDG'!2:2,0)),{"JA/AttJ Parquet";"JA/AttJ Siège autres"}))+
SUM(SUMIFS(
INDEX( 'ETPT Format DDG'!$A:$ZZ,,MATCH("9. TOTAL INSTRUCTION ET ENTRAIDE",'ETPT Format DDG'!2:2,0)),
INDEX( 'ETPT Format DDG'!$A:$ZZ,,MATCH("Fonction recodée",'ETPT Format DDG'!2:2,0)),{"JA/AttJ Parquet";"JA/AttJ Siège autres"}))+
SUM(SUMIFS(
INDEX( 'ETPT Format DDG'!$A:$ZZ,,MATCH("10. TOTAL APPLICATION DES PEINES",'ETPT Format DDG'!2:2,0)),
INDEX( 'ETPT Format DDG'!$A:$ZZ,,MATCH("Fonction recodée",'ETPT Format DDG'!2:2,0)),{"JA/AttJ Parquet";"JA/AttJ Siège autres"}))+
SUM(SUMIFS(
INDEX( 'ETPT Format DDG'!$A:$ZZ,,MATCH("11. TOTAL CONTENTIEUX CRIMINEL",'ETPT Format DDG'!2:2,0)),
INDEX( 'ETPT Format DDG'!$A:$ZZ,,MATCH("Fonction recodée",'ETPT Format DDG'!2:2,0)),{"JA/AttJ Parquet";"JA/AttJ Siège autres"}))</f>
        <v>#N/A</v>
      </c>
      <c r="G4" s="208"/>
      <c r="H4" s="208"/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autres"}))</f>
        <v>#N/A</v>
      </c>
      <c r="J4" s="207"/>
      <c r="K4" s="207"/>
      <c r="P4" s="114">
        <f>_xlfn.AGGREGATE(9,6,D4:O4)</f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208"/>
      <c r="H5" s="208"/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207"/>
      <c r="K5" s="207"/>
      <c r="P5" s="114">
        <f>_xlfn.AGGREGATE(9,6,D5:O5)</f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208"/>
      <c r="H6" s="208"/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207"/>
      <c r="K6" s="207"/>
      <c r="P6" s="114">
        <f>_xlfn.AGGREGATE(9,6,D6:O6)</f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208"/>
      <c r="H7" s="208"/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207"/>
      <c r="K7" s="207"/>
      <c r="P7" s="114">
        <f>_xlfn.AGGREGATE(9,6,D7:O7)</f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208"/>
      <c r="H8" s="208"/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207"/>
      <c r="K8" s="207"/>
      <c r="P8" s="114">
        <f>_xlfn.AGGREGATE(9,6,D8:O8)</f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208"/>
      <c r="H9" s="208"/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207"/>
      <c r="K9" s="207"/>
      <c r="P9" s="114">
        <f>_xlfn.AGGREGATE(9,6,D9:O9)</f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208"/>
      <c r="H10" s="208"/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207"/>
      <c r="K10" s="207"/>
      <c r="P10" s="114">
        <f>_xlfn.AGGREGATE(9,6,D10:O10)</f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0">_xlfn.AGGREGATE(9,6,E3:E10)</f>
        <v>0</v>
      </c>
      <c r="F11" s="114">
        <f t="shared" si="0"/>
        <v>0</v>
      </c>
      <c r="G11" s="114">
        <f t="shared" si="0"/>
        <v>0</v>
      </c>
      <c r="H11" s="114">
        <f t="shared" si="0"/>
        <v>0</v>
      </c>
      <c r="I11" s="114">
        <f t="shared" si="0"/>
        <v>0</v>
      </c>
      <c r="J11" s="114">
        <f t="shared" si="0"/>
        <v>0</v>
      </c>
      <c r="K11" s="114">
        <f t="shared" si="0"/>
        <v>0</v>
      </c>
      <c r="L11" s="114">
        <f t="shared" si="0"/>
        <v>0</v>
      </c>
      <c r="M11" s="114">
        <f t="shared" si="0"/>
        <v>0</v>
      </c>
      <c r="N11" s="114">
        <f t="shared" si="0"/>
        <v>0</v>
      </c>
      <c r="O11" s="114">
        <f t="shared" si="0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tabSelected="1" topLeftCell="E1" zoomScaleNormal="100" workbookViewId="0">
      <selection activeCell="I2" sqref="I2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209" t="s">
        <v>331</v>
      </c>
      <c r="I2" s="99" t="s">
        <v>338</v>
      </c>
      <c r="J2" s="99" t="s">
        <v>332</v>
      </c>
      <c r="K2" s="209" t="s">
        <v>333</v>
      </c>
      <c r="L2" s="209" t="s">
        <v>335</v>
      </c>
      <c r="M2" s="209" t="s">
        <v>336</v>
      </c>
      <c r="N2" s="209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/>
      <c r="H3" s="135"/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/>
      <c r="H4" s="135"/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/>
      <c r="H5" s="135"/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/>
      <c r="H6" s="135"/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/>
      <c r="H7" s="135"/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/>
      <c r="H8" s="135"/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/>
      <c r="H9" s="135"/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/>
      <c r="H10" s="135"/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/>
      <c r="H11" s="141"/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4" t="s">
        <v>107</v>
      </c>
      <c r="B1" s="204"/>
      <c r="C1" s="204"/>
      <c r="D1" s="204"/>
      <c r="E1" s="204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5" t="s">
        <v>250</v>
      </c>
      <c r="B1" s="205"/>
      <c r="C1" s="205"/>
      <c r="D1" s="205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6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2026-02-20T15:11:35Z</dcterms:modified>
  <cp:category/>
</cp:coreProperties>
</file>