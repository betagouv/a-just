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CA9F2146-4D56-9644-B279-B105CACAC41E}" xr6:coauthVersionLast="47" xr6:coauthVersionMax="47" xr10:uidLastSave="{00000000-0000-0000-0000-000000000000}"/>
  <bookViews>
    <workbookView xWindow="100" yWindow="780" windowWidth="30160" windowHeight="17660" activeTab="1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state="hidden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30" l="1"/>
  <c r="G4" i="30"/>
  <c r="I14" i="30"/>
  <c r="I12" i="30"/>
  <c r="I3" i="30"/>
  <c r="G3" i="30"/>
  <c r="F4" i="41" a="1"/>
  <c r="F4" i="41" s="1"/>
  <c r="G6" i="41"/>
  <c r="G6" i="42" s="1"/>
  <c r="H7" i="41"/>
  <c r="H6" i="41"/>
  <c r="H6" i="42" s="1"/>
  <c r="I4" i="41" a="1"/>
  <c r="I4" i="41" s="1"/>
  <c r="E4" i="41" a="1"/>
  <c r="E4" i="41" s="1"/>
  <c r="H4" i="42"/>
  <c r="H5" i="42"/>
  <c r="H7" i="42"/>
  <c r="H8" i="42"/>
  <c r="H9" i="42"/>
  <c r="H10" i="42"/>
  <c r="G4" i="42"/>
  <c r="G5" i="42"/>
  <c r="G7" i="42"/>
  <c r="G8" i="42"/>
  <c r="G9" i="42"/>
  <c r="G10" i="42"/>
  <c r="G3" i="42"/>
  <c r="H3" i="42"/>
  <c r="I3" i="41" a="1"/>
  <c r="I3" i="41" s="1"/>
  <c r="E3" i="41" a="1"/>
  <c r="E3" i="41" s="1"/>
  <c r="H10" i="41"/>
  <c r="H9" i="41"/>
  <c r="H8" i="41"/>
  <c r="H5" i="41"/>
  <c r="H4" i="41" a="1"/>
  <c r="H4" i="41" s="1"/>
  <c r="G10" i="41"/>
  <c r="G9" i="41"/>
  <c r="G8" i="41"/>
  <c r="G7" i="41"/>
  <c r="G5" i="41"/>
  <c r="G4" i="41" a="1"/>
  <c r="G4" i="41" s="1"/>
  <c r="F3" i="41" a="1"/>
  <c r="F3" i="41" s="1"/>
  <c r="G11" i="41" l="1"/>
  <c r="G11" i="42" s="1"/>
  <c r="H11" i="41"/>
  <c r="H11" i="42" s="1"/>
  <c r="J11" i="41"/>
  <c r="K11" i="41"/>
  <c r="J13" i="43"/>
  <c r="K13" i="43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N14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J14" i="30"/>
  <c r="N14" i="25" l="1"/>
  <c r="O14" i="30"/>
  <c r="O14" i="25" s="1"/>
  <c r="D9" i="42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H4" i="30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<sst xmlns="http://schemas.openxmlformats.org/spreadsheetml/2006/main" count="602" uniqueCount="339">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</sst>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169" fontId="11" fillId="0" borderId="0" xfId="0" applyNumberFormat="1" applyFont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zoomScale="78" zoomScaleNormal="78" workbookViewId="0">
      <selection activeCell="E5" sqref="E5:F5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1" t="s">
        <v>85</v>
      </c>
      <c r="D1" s="181"/>
      <c r="E1" s="181"/>
      <c r="F1" s="49"/>
      <c r="H1" s="26" t="s">
        <v>0</v>
      </c>
    </row>
    <row r="2" spans="1:8" s="53" customFormat="1" ht="20" customHeight="1" x14ac:dyDescent="0.2">
      <c r="A2" s="50"/>
      <c r="B2" s="51"/>
      <c r="C2" s="182" t="s">
        <v>106</v>
      </c>
      <c r="D2" s="182"/>
      <c r="E2" s="182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6" t="s">
        <v>89</v>
      </c>
      <c r="F4" s="187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8" t="s">
        <v>100</v>
      </c>
      <c r="F5" s="189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90" t="s">
        <v>101</v>
      </c>
      <c r="F6" s="191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90" t="s">
        <v>100</v>
      </c>
      <c r="F7" s="191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9" t="s">
        <v>254</v>
      </c>
      <c r="D8" s="179" t="s">
        <v>98</v>
      </c>
      <c r="E8" s="192" t="s">
        <v>102</v>
      </c>
      <c r="F8" s="193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80"/>
      <c r="D9" s="180"/>
      <c r="E9" s="180"/>
      <c r="F9" s="180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5" t="s">
        <v>99</v>
      </c>
      <c r="D11" s="185"/>
      <c r="E11" s="185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3" t="s">
        <v>25</v>
      </c>
      <c r="B13" s="183"/>
      <c r="C13" s="183"/>
      <c r="D13" s="183"/>
      <c r="E13" s="183"/>
      <c r="F13" s="184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tabSelected="1"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F1" sqref="F1"/>
    </sheetView>
  </sheetViews>
  <sheetFormatPr baseColWidth="10" defaultColWidth="8.83203125" defaultRowHeight="15" x14ac:dyDescent="0.2"/>
  <cols>
    <col min="1" max="1" width="26.1640625" customWidth="1"/>
    <col min="2" max="2" width="22.5" style="1" customWidth="1"/>
    <col min="3" max="3" width="16.83203125" style="1" customWidth="1"/>
    <col min="4" max="4" width="18.6640625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4" t="s">
        <v>278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5" t="s">
        <v>26</v>
      </c>
      <c r="H4" s="196"/>
      <c r="I4" s="196"/>
      <c r="J4" s="196"/>
      <c r="K4" s="196"/>
      <c r="L4" s="197"/>
      <c r="M4" s="198"/>
      <c r="N4" s="199" t="s">
        <v>27</v>
      </c>
      <c r="O4" s="197"/>
      <c r="P4" s="197"/>
      <c r="Q4" s="197"/>
      <c r="R4" s="197"/>
      <c r="S4" s="197"/>
      <c r="T4" s="200"/>
      <c r="U4" s="195" t="s">
        <v>28</v>
      </c>
      <c r="V4" s="198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G4" sqref="G4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AJ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AJ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AJ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AJ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AJ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AJ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1" t="s">
        <v>119</v>
      </c>
      <c r="J17" s="201"/>
      <c r="K17" s="201"/>
      <c r="L17" s="201"/>
      <c r="M17" s="202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3" t="s">
        <v>119</v>
      </c>
      <c r="J17" s="204"/>
      <c r="K17" s="204"/>
      <c r="L17" s="204"/>
      <c r="M17" s="205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C1" zoomScaleNormal="100" workbookViewId="0">
      <selection activeCell="F4" sqref="F4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AJ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Siège Assises";"JA/AttJ Siège CCD"}))+
SUM(SUMIFS(
INDEX( 'ETPT Format DDG'!$A:$ZZ,,MATCH("2. TOTAL CONTENTIEUX COMMERCIAL",'ETPT Format DDG'!2:2,0)),
INDEX( 'ETPT Format DDG'!$A:$ZZ,,MATCH("Fonction recodée",'ETPT Format DDG'!2:2,0)),{"JA/AttJ Parquet";"JA/AttJ Siège autres";"JA/AttJ Siège Assises";"JA/AttJ Siège CCD"}))+
SUM(SUMIFS(
INDEX( 'ETPT Format DDG'!$A:$ZZ,,MATCH("3. TOTAL CONTENTIEUX DE LA FAMILLE",'ETPT Format DDG'!2:2,0)),
INDEX( 'ETPT Format DDG'!$A:$ZZ,,MATCH("Fonction recodée",'ETPT Format DDG'!2:2,0)),{"JA/AttJ Parquet";"JA/AttJ Siège autres";"JA/AttJ Siège Assises";"JA/AttJ Siège CCD"}))+
SUM(SUMIFS(
INDEX( 'ETPT Format DDG'!$A:$ZZ,,MATCH("4. TOTAL CONTENTIEUX DE LA PROTECTION",'ETPT Format DDG'!2:2,0)),
INDEX( 'ETPT Format DDG'!$A:$ZZ,,MATCH("Fonction recodée",'ETPT Format DDG'!2:2,0)),{"JA/AttJ Parquet";"JA/AttJ Siège autres";"JA/AttJ Siège Assises";"JA/AttJ Siège CCD"}))+
SUM(SUMIFS(
INDEX( 'ETPT Format DDG'!$A:$ZZ,,MATCH("5. TOTAL CONTENTIEUX CIVIL NON SPÉCIALISÉ",'ETPT Format DDG'!2:2,0)),
INDEX( 'ETPT Format DDG'!$A:$ZZ,,MATCH("Fonction recodée",'ETPT Format DDG'!2:2,0)),{"JA/AttJ Parquet";"JA/AttJ Siège autres";"JA/AttJ Siège Assises";"JA/AttJ Siège CCD"}))+
SUM(SUMIFS(
INDEX( 'ETPT Format DDG'!$A:$ZZ,,MATCH("12. TOTAL ATTRIBUTIONS DU PP",'ETPT Format DDG'!2:2,0)),
INDEX( 'ETPT Format DDG'!$A:$ZZ,,MATCH("Fonction recodée",'ETPT Format DDG'!2:2,0)),{"JA/AttJ Parquet";"JA/AttJ Siège autres";"JA/AttJ Siège Assises";"JA/AttJ Siège CCD"}))-
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CCD"}))-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CCD"}))-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DDG'!$A:$ZZ,,MATCH("7.1. ACTIVITÉ CIVILE",'ETPT Format DDG'!2:2,0)),
INDEX( 'ETPT Format DDG'!$A:$ZZ,,MATCH("Fonction recodée",'ETPT Format DDG'!2:2,0)),{"JA/AttJ Parquet";"JA/AttJ Siège autres";"JA/AttJ Siège Assises";"JA/AttJ Siège CCD"}))</f>
        <v>#N/A</v>
      </c>
      <c r="G3" s="160"/>
      <c r="H3" s="160"/>
      <c r="I3" s="112" t="e" cm="1">
        <f t="array" ref="I3">SUM(SUMIFS(
INDEX('ETPT Format DDG'!$A:$ZZ,,MATCH("13.9. FONCTIONNAIRES / AJ AFFECTÉS AUX ACTIVITÉS CIVILES ET COMMERCIALES DU PARQUET GÉNÉRAL",'ETPT Format DDG'!2:2,0)),
INDEX('ETPT Format DDG'!$A:$ZZ,,MATCH("Fonction recodée",'ETPT Format DDG'!2:2,0)),{"JA/AttJ Parquet";"JA/AttJ Siège autres";"JA/AttJ Siège Assises";"JA/AttJ Siège CCD"}))</f>
        <v>#N/A</v>
      </c>
      <c r="J3" s="177"/>
      <c r="K3" s="177"/>
      <c r="P3" s="114">
        <f t="shared" ref="P3:P10" si="0"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AJ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INDEX('ETPT Format DDG'!$A:$ZZ,,MATCH("12.5. EXTRADITIONS ET MAE",'ETPT Format DDG'!2:2,0)),
INDEX('ETPT Format DDG'!$A:$ZZ,,MATCH("Fonction recodée",'ETPT Format DDG'!2:2,0)),
{"JA/AttJ Parquet";"JA/AttJ Siège autres";"JA/AttJ Siège Assises";"JA/AttJ Siège CCD"}))
+SUM(SUMIFS(
INDEX('ETPT Format DDG'!$A:$ZZ,,MATCH("12.6. SAISIES ET CONFISCATIONS DES AVOIRS CRIMINELS",'ETPT Format DDG'!2:2,0)),
INDEX('ETPT Format DDG'!$A:$ZZ,,MATCH("Fonction recodée",'ETPT Format DDG'!2:2,0)),
{"JA/AttJ Parquet";"JA/AttJ Siège autres";"JA/AttJ Siège Assises";"JA/AttJ Siège CCD"}))
+SUM(SUMIFS(
INDEX('ETPT Format DDG'!$A:$ZZ,,MATCH("12.9. AUTRES APPELS JLD",'ETPT Format DDG'!2:2,0)),
INDEX('ETPT Format DDG'!$A:$ZZ,,MATCH("Fonction recodée",'ETPT Format DDG'!2:2,0)),
{"JA/AttJ Parquet";"JA/AttJ Siège autres";"JA/AttJ Siège Assises";"JA/AttJ Siège CCD"}))
+SUM(SUMIFS(
INDEX('ETPT Format DDG'!$A:$ZZ,,MATCH("7.2. ACTIVITÉ PÉNALE",'ETPT Format DDG'!2:2,0)),
INDEX('ETPT Format DDG'!$A:$ZZ,,MATCH("Fonction recodée",'ETPT Format DDG'!2:2,0)),
{"JA/AttJ Parquet";"JA/AttJ Siège autres";"JA/AttJ Siège Assises";"JA/AttJ Siège CCD"}))
+SUM(SUMIFS(
INDEX('ETPT Format DDG'!$A:$ZZ,,MATCH("8. TOTAL CORRECTIONNEL",'ETPT Format DDG'!2:2,0)),
INDEX('ETPT Format DDG'!$A:$ZZ,,MATCH("Fonction recodée",'ETPT Format DDG'!2:2,0)),
{"JA/AttJ Parquet";"JA/AttJ Siège autres";"JA/AttJ Siège Assises";"JA/AttJ Siège CCD"}))
+SUM(SUMIFS(
INDEX('ETPT Format DDG'!$A:$ZZ,,MATCH("9. TOTAL INSTRUCTION ET ENTRAIDE",'ETPT Format DDG'!2:2,0)),
INDEX('ETPT Format DDG'!$A:$ZZ,,MATCH("Fonction recodée",'ETPT Format DDG'!2:2,0)),
{"JA/AttJ Parquet";"JA/AttJ Siège autres";"JA/AttJ Siège Assises";"JA/AttJ Siège CCD"}))
+SUM(SUMIFS(
INDEX('ETPT Format DDG'!$A:$ZZ,,MATCH("10. TOTAL APPLICATION DES PEINES",'ETPT Format DDG'!2:2,0)),
INDEX('ETPT Format DDG'!$A:$ZZ,,MATCH("Fonction recodée",'ETPT Format DDG'!2:2,0)),
{"JA/AttJ Parquet";"JA/AttJ Siège autres";"JA/AttJ Siège Assises";"JA/AttJ Siège CCD"}))
+SUM(SUMIFS(
INDEX('ETPT Format DDG'!$A:$ZZ,,MATCH("11. TOTAL CONTENTIEUX CRIMINEL",'ETPT Format DDG'!2:2,0)),
INDEX('ETPT Format DDG'!$A:$ZZ,,MATCH("Fonction recodée",'ETPT Format DDG'!2:2,0)),
{"JA/AttJ Parquet";"JA/AttJ Siège autres";"JA/AttJ Siège Assises";"JA/AttJ Siège CCD"}))
-SUM(SUMIFS(
INDEX('ETPT Format DDG'!$A:$ZZ,,MATCH("11.1. ASSISES HORS JIRS",'ETPT Format DDG'!2:2,0)),
INDEX('ETPT Format DDG'!$A:$ZZ,,MATCH("Fonction recodée",'ETPT Format DDG'!2:2,0)),
{"JA/AttJ Parquet";"JA/AttJ Siège autres";"JA/AttJ Siège Assises";"JA/AttJ Siège CCD"}))
-SUM(SUMIFS(
INDEX('ETPT Format DDG'!$A:$ZZ,,MATCH("11.2 ASSISES JIRS",'ETPT Format DDG'!2:2,0)),
INDEX('ETPT Format DDG'!$A:$ZZ,,MATCH("Fonction recodée",'ETPT Format DDG'!2:2,0)),
{"JA/AttJ Parquet";"JA/AttJ Siège autres";"JA/AttJ Siège Assises";"JA/AttJ Siège CCD"}))
-SUM(SUMIFS(
INDEX('ETPT Format DDG'!$A:$ZZ,,MATCH("11.3. COUR CRIMINELLE DÉPARTEMENTALE",'ETPT Format DDG'!2:2,0)),
INDEX('ETPT Format DDG'!$A:$ZZ,,MATCH("Fonction recodée",'ETPT Format DDG'!2:2,0)),
{"JA/AttJ Parquet";"JA/AttJ Siège autres";"JA/AttJ Siège Assises";"JA/AttJ Siège CCD"}))</f>
        <v>#N/A</v>
      </c>
      <c r="G4" s="160" t="e" cm="1">
        <f t="array" ref="G4">SUM(SUMIFS(
INDEX( 'ETPT Format DDG'!$A:$ZZ,,MATCH("11.1. ASSISES HORS JIRS",'ETPT Format DDG'!2:2,0)),
INDEX( 'ETPT Format DDG'!$A:$ZZ,,MATCH("Fonction recodée",'ETPT Format DDG'!2:2,0)),{"JA/AttJ Parquet";"JA/AttJ Siège autres";"JA/AttJ Siège Assises";"JA/AttJ Siège CCD"}))+
SUM(SUMIFS(
INDEX( 'ETPT Format DDG'!$A:$ZZ,,MATCH("11.2 ASSISES JIRS",'ETPT Format DDG'!2:2,0)),
INDEX( 'ETPT Format DDG'!$A:$ZZ,,MATCH("Fonction recodée",'ETPT Format DDG'!2:2,0)),{"JA/AttJ Parquet";"JA/AttJ Siège autres";"JA/AttJ Siège Assises";"JA/AttJ Siège CCD"}))</f>
        <v>#N/A</v>
      </c>
      <c r="H4" s="160" t="e" cm="1">
        <f t="array" ref="H4">SUM(SUMIFS(
INDEX('ETPT Format DDG'!$A:$ZZ,,MATCH("11.3. COUR CRIMINELLE DÉPARTEMENTALE",'ETPT Format DDG'!2:2,0)),
INDEX('ETPT Format DDG'!$A:$ZZ,,MATCH("Fonction recodée",'ETPT Format DDG'!2:2,0)),{"JA/AttJ Parquet";"JA/AttJ Siège autres";"JA/AttJ Siège Assises";"JA/AttJ Siège CCD"}))</f>
        <v>#N/A</v>
      </c>
      <c r="I4" s="112" t="e" cm="1">
        <f t="array" ref="I4">SUM(SUMIFS(
INDEX( 'ETPT Format DDG'!$A:$ZZ,,MATCH("13.10. AUTRES FONCTIONNAIRES / AJ AFFECTÉS AU PARQUET GÉNÉRAL",'ETPT Format DDG'!2:2,0)),
INDEX( 'ETPT Format DDG'!$A:$ZZ,,MATCH("Fonction recodée",'ETPT Format DDG'!2:2,0)),{"JA/AttJ Parquet";"JA/AttJ Siège autres";"JA/AttJ Siège Assises";"JA/AttJ Siège CCD"}))</f>
        <v>#N/A</v>
      </c>
      <c r="J4" s="177"/>
      <c r="K4" s="177"/>
      <c r="P4" s="114">
        <f t="shared" si="0"/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160" t="e">
        <f>SUM(SUMIFS(
INDEX( 'ETPT Format DDG'!$A:$ZZ,,MATCH("13.8. ACCUEIL DU JUSTICIABLE",'ETPT Format DDG'!2:2,0)),
INDEX( 'ETPT Format DDG'!$A:$ZZ,,MATCH("Fonction recodée",'ETPT Format DDG'!2:2,0)),"JA/AttJ Siège Assises"))</f>
        <v>#N/A</v>
      </c>
      <c r="H5" s="160" t="e">
        <f>SUM(SUMIFS(
INDEX( 'ETPT Format DDG'!$A:$ZZ,,MATCH("13.8. ACCUEIL DU JUSTICIABLE",'ETPT Format DDG'!2:2,0)),
INDEX( 'ETPT Format DDG'!$A:$ZZ,,MATCH("Fonction recodée",'ETPT Format DDG'!2:2,0)),"JA/AttJ Siège CCD"))</f>
        <v>#N/A</v>
      </c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177"/>
      <c r="K5" s="177"/>
      <c r="P5" s="114">
        <f t="shared" si="0"/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160" t="e">
        <f>SUM(SUMIFS(
INDEX( 'ETPT Format DDG'!$A:$ZZ,,MATCH("13.11. ACTIVITÉS EXTÉRIEURES ET PARTENARIATS",'ETPT Format DDG'!2:2,0)),
INDEX( 'ETPT Format DDG'!$A:$ZZ,,MATCH("Fonction recodée",'ETPT Format DDG'!2:2,0)),"JA/AttJ Siège Assises"))+
SUM(SUMIFS(
INDEX( 'ETPT Format DDG'!$A:$ZZ,,MATCH("13.13. COMMUNICATION",'ETPT Format DDG'!2:2,0)),
INDEX( 'ETPT Format DDG'!$A:$ZZ,,MATCH("Fonction recodée",'ETPT Format DDG'!2:2,0)),"JA/AttJ Siège Assises"))+
SUM(SUMIFS(
INDEX( 'ETPT Format DDG'!$A:$ZZ,,MATCH("13.12. ÉQUIPEMENT",'ETPT Format DDG'!2:2,0)),
INDEX( 'ETPT Format DDG'!$A:$ZZ,,MATCH("Fonction recodée",'ETPT Format DDG'!2:2,0)),"JA/AttJ Siège Assises"))+
SUM(SUMIFS(
INDEX( 'ETPT Format DDG'!$A:$ZZ,,MATCH("13.5. EXPERTISES (SUIVI ET LISTES)",'ETPT Format DDG'!2:2,0)),
INDEX( 'ETPT Format DDG'!$A:$ZZ,,MATCH("Fonction recodée",'ETPT Format DDG'!2:2,0)),"JA/AttJ Siège Assises"))+
SUM(SUMIFS(
INDEX( 'ETPT Format DDG'!$A:$ZZ,,MATCH("13.2. FORMATIONS SUIVIES",'ETPT Format DDG'!2:2,0)),
INDEX( 'ETPT Format DDG'!$A:$ZZ,,MATCH("Fonction recodée",'ETPT Format DDG'!2:2,0)),"JA/AttJ Siège Assises"))+
SUM(SUMIFS(
INDEX( 'ETPT Format DDG'!$A:$ZZ,,MATCH("13.6. MÉDIATION / CONCILIATION (SUIVI ET LISTES)",'ETPT Format DDG'!2:2,0)),
INDEX( 'ETPT Format DDG'!$A:$ZZ,,MATCH("Fonction recodée",'ETPT Format DDG'!2:2,0)),"JA/AttJ Siège Assises"))+
SUM(SUMIFS(
INDEX( 'ETPT Format DDG'!$A:$ZZ,,MATCH("13.14. POLITIQUE ASSOCIATIVE ET AIDE AUX VICTIMES",'ETPT Format DDG'!2:2,0)),
INDEX( 'ETPT Format DDG'!$A:$ZZ,,MATCH("Fonction recodée",'ETPT Format DDG'!2:2,0)),"JA/AttJ Siège Assises"))+
SUM(SUMIFS(
INDEX( 'ETPT Format DDG'!$A:$ZZ,,MATCH("13.1. SOUTIEN (AUTRES)",'ETPT Format DDG'!2:2,0)),
INDEX( 'ETPT Format DDG'!$A:$ZZ,,MATCH("Fonction recodée",'ETPT Format DDG'!2:2,0)),"JA/AttJ Siège Assises"))+
SUM(SUMIFS(
INDEX( 'ETPT Format DDG'!$A:$ZZ,,MATCH("13.15. AUTRES ACTIVITÉS NON JURIDICTIONNELLES",'ETPT Format DDG'!2:2,0)),
INDEX( 'ETPT Format DDG'!$A:$ZZ,,MATCH("Fonction recodée",'ETPT Format DDG'!2:2,0)),"JA/AttJ Siège Assises"))</f>
        <v>#N/A</v>
      </c>
      <c r="H6" s="160" t="e">
        <f>SUM(SUMIFS(
INDEX( 'ETPT Format DDG'!$A:$ZZ,,MATCH("13.11. ACTIVITÉS EXTÉRIEURES ET PARTENARIATS",'ETPT Format DDG'!2:2,0)),
INDEX( 'ETPT Format DDG'!$A:$ZZ,,MATCH("Fonction recodée",'ETPT Format DDG'!2:2,0)),"JA/AttJ Siège CCD"))+
SUM(SUMIFS(
INDEX( 'ETPT Format DDG'!$A:$ZZ,,MATCH("13.13. COMMUNICATION",'ETPT Format DDG'!2:2,0)),
INDEX( 'ETPT Format DDG'!$A:$ZZ,,MATCH("Fonction recodée",'ETPT Format DDG'!2:2,0)),"JA/AttJ Siège CCD"))+
SUM(SUMIFS(
INDEX( 'ETPT Format DDG'!$A:$ZZ,,MATCH("13.12. ÉQUIPEMENT",'ETPT Format DDG'!2:2,0)),
INDEX( 'ETPT Format DDG'!$A:$ZZ,,MATCH("Fonction recodée",'ETPT Format DDG'!2:2,0)),"JA/AttJ Siège CCD"))+
SUM(SUMIFS(
INDEX( 'ETPT Format DDG'!$A:$ZZ,,MATCH("13.5. EXPERTISES (SUIVI ET LISTES)",'ETPT Format DDG'!2:2,0)),
INDEX( 'ETPT Format DDG'!$A:$ZZ,,MATCH("Fonction recodée",'ETPT Format DDG'!2:2,0)),"JA/AttJ Siège CCD"))+
SUM(SUMIFS(
INDEX( 'ETPT Format DDG'!$A:$ZZ,,MATCH("13.2. FORMATIONS SUIVIES",'ETPT Format DDG'!2:2,0)),
INDEX( 'ETPT Format DDG'!$A:$ZZ,,MATCH("Fonction recodée",'ETPT Format DDG'!2:2,0)),"JA/AttJ Siège CCD"))+
SUM(SUMIFS(
INDEX( 'ETPT Format DDG'!$A:$ZZ,,MATCH("13.6. MÉDIATION / CONCILIATION (SUIVI ET LISTES)",'ETPT Format DDG'!2:2,0)),
INDEX( 'ETPT Format DDG'!$A:$ZZ,,MATCH("Fonction recodée",'ETPT Format DDG'!2:2,0)),"JA/AttJ Siège CCD"))+
SUM(SUMIFS(
INDEX( 'ETPT Format DDG'!$A:$ZZ,,MATCH("13.14. POLITIQUE ASSOCIATIVE ET AIDE AUX VICTIMES",'ETPT Format DDG'!2:2,0)),
INDEX( 'ETPT Format DDG'!$A:$ZZ,,MATCH("Fonction recodée",'ETPT Format DDG'!2:2,0)),"JA/AttJ Siège CCD"))+
SUM(SUMIFS(
INDEX( 'ETPT Format DDG'!$A:$ZZ,,MATCH("13.1. SOUTIEN (AUTRES)",'ETPT Format DDG'!2:2,0)),
INDEX( 'ETPT Format DDG'!$A:$ZZ,,MATCH("Fonction recodée",'ETPT Format DDG'!2:2,0)),"JA/AttJ Siège CCD"))+
SUM(SUMIFS(
INDEX( 'ETPT Format DDG'!$A:$ZZ,,MATCH("13.15. AUTRES ACTIVITÉS NON JURIDICTIONNELLES",'ETPT Format DDG'!2:2,0)),
INDEX( 'ETPT Format DDG'!$A:$ZZ,,MATCH("Fonction recodée",'ETPT Format DDG'!2:2,0)),"JA/AttJ Siège CCD"))</f>
        <v>#N/A</v>
      </c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177"/>
      <c r="K6" s="177"/>
      <c r="P6" s="114">
        <f t="shared" si="0"/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H7" s="160" t="e">
        <f>SUM(SUMIFS(
INDEX( 'ETPT Format DDG'!$A:$ZZ,,MATCH("13.3. FORMATIONS DISPENSÉES",'ETPT Format DDG'!2:2,0)),
INDEX( 'ETPT Format DDG'!$A:$ZZ,,MATCH("Fonction recodée",'ETPT Format DDG'!2:2,0)),"JA/AttJ Siège CCD"))</f>
        <v>#N/A</v>
      </c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177"/>
      <c r="K7" s="177"/>
      <c r="P7" s="114">
        <f t="shared" si="0"/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160" t="e">
        <f>SUM(SUMIFS(
INDEX( 'ETPT Format DDG'!$A:$ZZ,,MATCH("13.7. ACCÈS AU DROIT ET À LA JUSTICE",'ETPT Format DDG'!2:2,0)),
INDEX( 'ETPT Format DDG'!$A:$ZZ,,MATCH("Fonction recodée",'ETPT Format DDG'!2:2,0)),"JA/AttJ Siège Assises"))</f>
        <v>#N/A</v>
      </c>
      <c r="H8" s="160" t="e">
        <f>SUM(SUMIFS(
INDEX( 'ETPT Format DDG'!$A:$ZZ,,MATCH("13.7. ACCÈS AU DROIT ET À LA JUSTICE",'ETPT Format DDG'!2:2,0)),
INDEX( 'ETPT Format DDG'!$A:$ZZ,,MATCH("Fonction recodée",'ETPT Format DDG'!2:2,0)),"JA/AttJ Siège CCD"))</f>
        <v>#N/A</v>
      </c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177"/>
      <c r="K8" s="177"/>
      <c r="P8" s="114">
        <f t="shared" si="0"/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160" t="e">
        <f>SUM(SUMIFS(
INDEX( 'ETPT Format DDG'!$A:$ZZ,,MATCH("14. TOTAL des INDISPONIBILITÉS relevant de l'action 99",'ETPT Format DDG'!2:2,0)),
INDEX( 'ETPT Format DDG'!$A:$ZZ,,MATCH("Fonction recodée",'ETPT Format DDG'!2:2,0)),"JA/AttJ Siège Assises"))-
SUM(SUMIFS(
INDEX( 'ETPT Format DDG'!$A:$ZZ,,MATCH("14.9. MISE À DISPOSITION",'ETPT Format DDG'!2:2,0)),
INDEX( 'ETPT Format DDG'!$A:$ZZ,,MATCH("Fonction recodée",'ETPT Format DDG'!2:2,0)),"JA/AttJ Siège Assises"))</f>
        <v>#N/A</v>
      </c>
      <c r="H9" s="160" t="e">
        <f>SUM(SUMIFS(
INDEX( 'ETPT Format DDG'!$A:$ZZ,,MATCH("14. TOTAL des INDISPONIBILITÉS relevant de l'action 99",'ETPT Format DDG'!2:2,0)),
INDEX( 'ETPT Format DDG'!$A:$ZZ,,MATCH("Fonction recodée",'ETPT Format DDG'!2:2,0)),"JA/AttJ Siège CCD"))-
SUM(SUMIFS(
INDEX( 'ETPT Format DDG'!$A:$ZZ,,MATCH("14.9. MISE À DISPOSITION",'ETPT Format DDG'!2:2,0)),
INDEX( 'ETPT Format DDG'!$A:$ZZ,,MATCH("Fonction recodée",'ETPT Format DDG'!2:2,0)),"JA/AttJ Siège CCD"))</f>
        <v>#N/A</v>
      </c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177"/>
      <c r="K9" s="177"/>
      <c r="P9" s="114">
        <f t="shared" si="0"/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160" t="e">
        <f>SUM(SUMIFS(
INDEX( 'ETPT Format DDG'!$A:$ZZ,,MATCH("14.9. MISE À DISPOSITION",'ETPT Format DDG'!2:2,0)),
INDEX( 'ETPT Format DDG'!$A:$ZZ,,MATCH("Fonction recodée",'ETPT Format DDG'!2:2,0)),"JA/AttJ Siège Assises"))</f>
        <v>#N/A</v>
      </c>
      <c r="H10" s="160" t="e">
        <f>SUM(SUMIFS(
INDEX( 'ETPT Format DDG'!$A:$ZZ,,MATCH("14.9. MISE À DISPOSITION",'ETPT Format DDG'!2:2,0)),
INDEX( 'ETPT Format DDG'!$A:$ZZ,,MATCH("Fonction recodée",'ETPT Format DDG'!2:2,0)),"JA/AttJ Siège CCD"))</f>
        <v>#N/A</v>
      </c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177"/>
      <c r="K10" s="177"/>
      <c r="P10" s="114">
        <f t="shared" si="0"/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 t="shared" si="1"/>
        <v>0</v>
      </c>
      <c r="O11" s="114">
        <f t="shared" si="1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zoomScaleNormal="100" workbookViewId="0">
      <selection activeCell="E4" sqref="E4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178" t="s">
        <v>331</v>
      </c>
      <c r="I2" s="99" t="s">
        <v>338</v>
      </c>
      <c r="J2" s="99" t="s">
        <v>332</v>
      </c>
      <c r="K2" s="178" t="s">
        <v>333</v>
      </c>
      <c r="L2" s="178" t="s">
        <v>335</v>
      </c>
      <c r="M2" s="178" t="s">
        <v>336</v>
      </c>
      <c r="N2" s="178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 t="str">
        <f>IF(ISERROR(ETPT_CA_ATTJ!G3),"",IF(ETPT_CA_ATTJ!G3=0,"",ETPT_CA_ATTJ!G3))</f>
        <v/>
      </c>
      <c r="H3" s="135" t="str">
        <f>IF(ISERROR(ETPT_CA_ATTJ!H3),"",IF(ETPT_CA_ATTJ!H3=0,"",ETPT_CA_ATTJ!H3))</f>
        <v/>
      </c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 t="str">
        <f>IF(ISERROR(ETPT_CA_ATTJ!G4),"",IF(ETPT_CA_ATTJ!G4=0,"",ETPT_CA_ATTJ!G4))</f>
        <v/>
      </c>
      <c r="H4" s="135" t="str">
        <f>IF(ISERROR(ETPT_CA_ATTJ!H4),"",IF(ETPT_CA_ATTJ!H4=0,"",ETPT_CA_ATTJ!H4))</f>
        <v/>
      </c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 t="str">
        <f>IF(ISERROR(ETPT_CA_ATTJ!G5),"",IF(ETPT_CA_ATTJ!G5=0,"",ETPT_CA_ATTJ!G5))</f>
        <v/>
      </c>
      <c r="H5" s="135" t="str">
        <f>IF(ISERROR(ETPT_CA_ATTJ!H5),"",IF(ETPT_CA_ATTJ!H5=0,"",ETPT_CA_ATTJ!H5))</f>
        <v/>
      </c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 t="str">
        <f>IF(ISERROR(ETPT_CA_ATTJ!G6),"",IF(ETPT_CA_ATTJ!G6=0,"",ETPT_CA_ATTJ!G6))</f>
        <v/>
      </c>
      <c r="H6" s="135" t="str">
        <f>IF(ISERROR(ETPT_CA_ATTJ!H6),"",IF(ETPT_CA_ATTJ!H6=0,"",ETPT_CA_ATTJ!H6))</f>
        <v/>
      </c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 t="str">
        <f>IF(ISERROR(ETPT_CA_ATTJ!G7),"",IF(ETPT_CA_ATTJ!G7=0,"",ETPT_CA_ATTJ!G7))</f>
        <v/>
      </c>
      <c r="H7" s="135" t="str">
        <f>IF(ISERROR(ETPT_CA_ATTJ!H7),"",IF(ETPT_CA_ATTJ!H7=0,"",ETPT_CA_ATTJ!H7))</f>
        <v/>
      </c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 t="str">
        <f>IF(ISERROR(ETPT_CA_ATTJ!G8),"",IF(ETPT_CA_ATTJ!G8=0,"",ETPT_CA_ATTJ!G8))</f>
        <v/>
      </c>
      <c r="H8" s="135" t="str">
        <f>IF(ISERROR(ETPT_CA_ATTJ!H8),"",IF(ETPT_CA_ATTJ!H8=0,"",ETPT_CA_ATTJ!H8))</f>
        <v/>
      </c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 t="str">
        <f>IF(ISERROR(ETPT_CA_ATTJ!G9),"",IF(ETPT_CA_ATTJ!G9=0,"",ETPT_CA_ATTJ!G9))</f>
        <v/>
      </c>
      <c r="H9" s="135" t="str">
        <f>IF(ISERROR(ETPT_CA_ATTJ!H9),"",IF(ETPT_CA_ATTJ!H9=0,"",ETPT_CA_ATTJ!H9))</f>
        <v/>
      </c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 t="str">
        <f>IF(ISERROR(ETPT_CA_ATTJ!G10),"",IF(ETPT_CA_ATTJ!G10=0,"",ETPT_CA_ATTJ!G10))</f>
        <v/>
      </c>
      <c r="H10" s="135" t="str">
        <f>IF(ISERROR(ETPT_CA_ATTJ!H10),"",IF(ETPT_CA_ATTJ!H10=0,"",ETPT_CA_ATTJ!H10))</f>
        <v/>
      </c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>
        <f>ETPT_CA_ATTJ!G11</f>
        <v>0</v>
      </c>
      <c r="H11" s="141">
        <f>ETPT_CA_ATTJ!H11</f>
        <v>0</v>
      </c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6" t="s">
        <v>107</v>
      </c>
      <c r="B1" s="206"/>
      <c r="C1" s="206"/>
      <c r="D1" s="206"/>
      <c r="E1" s="206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7" t="s">
        <v>250</v>
      </c>
      <c r="B1" s="207"/>
      <c r="C1" s="207"/>
      <c r="D1" s="207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8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8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8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2026-03-09T15:16:57Z</dcterms:modified>
  <cp:category/>
</cp:coreProperties>
</file>